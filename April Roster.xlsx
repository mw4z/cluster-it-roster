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ABIL\Downloads\"/>
    </mc:Choice>
  </mc:AlternateContent>
  <xr:revisionPtr revIDLastSave="0" documentId="8_{B06CF50F-CA40-4381-A2AD-774D27FD41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ID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3" i="8" l="1"/>
  <c r="K23" i="8"/>
  <c r="J23" i="8"/>
  <c r="I23" i="8"/>
  <c r="H23" i="8"/>
  <c r="G23" i="8"/>
  <c r="F23" i="8"/>
  <c r="E23" i="8"/>
  <c r="D23" i="8"/>
  <c r="C23" i="8"/>
  <c r="L22" i="8"/>
  <c r="K22" i="8"/>
  <c r="J22" i="8"/>
  <c r="I22" i="8"/>
  <c r="H22" i="8"/>
  <c r="G22" i="8"/>
  <c r="F22" i="8"/>
  <c r="E22" i="8"/>
  <c r="D22" i="8"/>
  <c r="C22" i="8"/>
  <c r="L21" i="8"/>
  <c r="K21" i="8"/>
  <c r="J21" i="8"/>
  <c r="I21" i="8"/>
  <c r="H21" i="8"/>
  <c r="G21" i="8"/>
  <c r="F21" i="8"/>
  <c r="E21" i="8"/>
  <c r="D21" i="8"/>
  <c r="C21" i="8"/>
  <c r="L20" i="8"/>
  <c r="K20" i="8"/>
  <c r="J20" i="8"/>
  <c r="I20" i="8"/>
  <c r="H20" i="8"/>
  <c r="G20" i="8"/>
  <c r="F20" i="8"/>
  <c r="E20" i="8"/>
  <c r="D20" i="8"/>
  <c r="C20" i="8"/>
</calcChain>
</file>

<file path=xl/sharedStrings.xml><?xml version="1.0" encoding="utf-8"?>
<sst xmlns="http://schemas.openxmlformats.org/spreadsheetml/2006/main" count="228" uniqueCount="62">
  <si>
    <t>#</t>
  </si>
  <si>
    <t>Name</t>
  </si>
  <si>
    <t>Wed</t>
  </si>
  <si>
    <t>Thu</t>
  </si>
  <si>
    <t>Fri</t>
  </si>
  <si>
    <t>Sat</t>
  </si>
  <si>
    <t>Sun</t>
  </si>
  <si>
    <t>Mon</t>
  </si>
  <si>
    <t>Tue</t>
  </si>
  <si>
    <t>B</t>
  </si>
  <si>
    <t>OFF</t>
  </si>
  <si>
    <t>Moayad Yar</t>
  </si>
  <si>
    <t>E</t>
  </si>
  <si>
    <t>PH</t>
  </si>
  <si>
    <t>M</t>
  </si>
  <si>
    <t xml:space="preserve">Hatem Asim </t>
  </si>
  <si>
    <t xml:space="preserve">Abdulrhman zawawi </t>
  </si>
  <si>
    <t>N</t>
  </si>
  <si>
    <t>Hassan, Islam</t>
  </si>
  <si>
    <t>Mostafa Nabil</t>
  </si>
  <si>
    <t>Saad Marwan</t>
  </si>
  <si>
    <t xml:space="preserve">Mohamed Alkhatabi </t>
  </si>
  <si>
    <t xml:space="preserve">ziyad al zahrani </t>
  </si>
  <si>
    <t>Alamoudi, Abdulrhman</t>
  </si>
  <si>
    <t>Suhaib  Midrad</t>
  </si>
  <si>
    <t>Morning Shift</t>
  </si>
  <si>
    <t>Evening Shift</t>
  </si>
  <si>
    <t>Night Shift</t>
  </si>
  <si>
    <t xml:space="preserve">Between Shift </t>
  </si>
  <si>
    <t>T</t>
  </si>
  <si>
    <t>Task Force (Al-Ula Project)</t>
  </si>
  <si>
    <t>V</t>
  </si>
  <si>
    <t xml:space="preserve">
Annual leave</t>
  </si>
  <si>
    <t>NH</t>
  </si>
  <si>
    <t>National Day Holiday</t>
  </si>
  <si>
    <t>Public Holiday (Eid al-Adha)</t>
  </si>
  <si>
    <t>Z</t>
  </si>
  <si>
    <t xml:space="preserve">Pending Off (Actual) </t>
  </si>
  <si>
    <t>X</t>
  </si>
  <si>
    <t xml:space="preserve">Pending Off (Taken) </t>
  </si>
  <si>
    <t>U</t>
  </si>
  <si>
    <t>UNPAID Vacation</t>
  </si>
  <si>
    <t>Day OFF</t>
  </si>
  <si>
    <t>S</t>
  </si>
  <si>
    <t>SickLeave</t>
  </si>
  <si>
    <t>DL</t>
  </si>
  <si>
    <t xml:space="preserve">Death Leave </t>
  </si>
  <si>
    <t>EX</t>
  </si>
  <si>
    <t>Exam Leave</t>
  </si>
  <si>
    <t>PL</t>
  </si>
  <si>
    <t>Permission Leave</t>
  </si>
  <si>
    <t xml:space="preserve">Traning </t>
  </si>
  <si>
    <t>C</t>
  </si>
  <si>
    <t>Child Leave (3 Days)</t>
  </si>
  <si>
    <t>Haitham Sendi</t>
  </si>
  <si>
    <t>Yasser Mattiri</t>
  </si>
  <si>
    <t>Abdulmajed Othman</t>
  </si>
  <si>
    <t>Meshari Alharithi</t>
  </si>
  <si>
    <t>E-z</t>
  </si>
  <si>
    <t>OFF-x</t>
  </si>
  <si>
    <t>Farhan Salah Eldin</t>
  </si>
  <si>
    <t>Salem Seif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</si>
</sst>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0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sz val="9"/>
      <color theme="3"/>
      <name val="Times New Roman"/>
      <family val="1"/>
    </font>
    <font>
      <b/>
      <sz val="9"/>
      <color rgb="FF9C0006"/>
      <name val="Times New Roman"/>
      <family val="1"/>
    </font>
    <font>
      <b/>
      <sz val="9"/>
      <color rgb="FF006100"/>
      <name val="Times New Roman"/>
      <family val="1"/>
    </font>
    <font>
      <b/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7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3" fillId="3" borderId="0" applyNumberFormat="0" applyBorder="0" applyAlignment="0" applyProtection="0"/>
    <xf numFmtId="0" fontId="2" fillId="2" borderId="0" applyNumberFormat="0" applyBorder="0" applyAlignment="0" applyProtection="0"/>
  </cellStyleXfs>
  <cellXfs count="48">
    <xf numFmtId="0" fontId="0" fillId="0" borderId="0" xfId="0"/>
    <xf numFmtId="0" fontId="5" fillId="4" borderId="1" xfId="1" applyFont="1" applyBorder="1" applyAlignment="1">
      <alignment horizontal="center" vertical="center"/>
    </xf>
    <xf numFmtId="16" fontId="5" fillId="4" borderId="1" xfId="1" applyNumberFormat="1" applyFont="1" applyBorder="1" applyAlignment="1">
      <alignment horizontal="center" vertical="center"/>
    </xf>
    <xf numFmtId="0" fontId="6" fillId="12" borderId="1" xfId="4" applyFont="1" applyFill="1" applyBorder="1" applyAlignment="1">
      <alignment horizontal="center" vertical="center"/>
    </xf>
    <xf numFmtId="0" fontId="7" fillId="13" borderId="3" xfId="5" applyFont="1" applyFill="1" applyBorder="1" applyAlignment="1">
      <alignment horizontal="center" vertical="center"/>
    </xf>
    <xf numFmtId="0" fontId="6" fillId="14" borderId="4" xfId="3" applyFont="1" applyFill="1" applyBorder="1" applyAlignment="1">
      <alignment horizontal="center" vertical="center"/>
    </xf>
    <xf numFmtId="0" fontId="6" fillId="15" borderId="5" xfId="6" applyFont="1" applyFill="1" applyBorder="1" applyAlignment="1">
      <alignment horizontal="center" vertical="center"/>
    </xf>
    <xf numFmtId="0" fontId="6" fillId="18" borderId="7" xfId="4" applyFont="1" applyFill="1" applyBorder="1" applyAlignment="1">
      <alignment horizontal="center" vertical="center" textRotation="90"/>
    </xf>
    <xf numFmtId="0" fontId="9" fillId="0" borderId="10" xfId="6" applyFont="1" applyFill="1" applyBorder="1" applyAlignment="1">
      <alignment horizontal="center" vertical="center"/>
    </xf>
    <xf numFmtId="0" fontId="8" fillId="18" borderId="10" xfId="0" applyFont="1" applyFill="1" applyBorder="1" applyAlignment="1">
      <alignment horizontal="center" vertical="center"/>
    </xf>
    <xf numFmtId="0" fontId="7" fillId="11" borderId="3" xfId="7" applyFont="1" applyBorder="1" applyAlignment="1">
      <alignment horizontal="center" vertical="center"/>
    </xf>
    <xf numFmtId="0" fontId="7" fillId="20" borderId="3" xfId="7" applyFont="1" applyFill="1" applyBorder="1" applyAlignment="1">
      <alignment horizontal="center" vertical="center"/>
    </xf>
    <xf numFmtId="0" fontId="8" fillId="21" borderId="3" xfId="8" applyFont="1" applyFill="1" applyBorder="1" applyAlignment="1">
      <alignment horizontal="center" vertical="center"/>
    </xf>
    <xf numFmtId="0" fontId="10" fillId="3" borderId="3" xfId="9" applyFont="1" applyBorder="1" applyAlignment="1">
      <alignment horizontal="center" vertical="center"/>
    </xf>
    <xf numFmtId="0" fontId="11" fillId="2" borderId="3" xfId="10" applyFont="1" applyBorder="1" applyAlignment="1">
      <alignment horizontal="center" vertical="center"/>
    </xf>
    <xf numFmtId="0" fontId="7" fillId="22" borderId="3" xfId="0" applyFont="1" applyFill="1" applyBorder="1" applyAlignment="1">
      <alignment horizontal="center" vertical="center"/>
    </xf>
    <xf numFmtId="0" fontId="7" fillId="23" borderId="11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/>
    </xf>
    <xf numFmtId="0" fontId="7" fillId="24" borderId="5" xfId="0" applyFont="1" applyFill="1" applyBorder="1" applyAlignment="1">
      <alignment horizontal="center" vertical="center"/>
    </xf>
    <xf numFmtId="0" fontId="7" fillId="25" borderId="5" xfId="0" applyFont="1" applyFill="1" applyBorder="1" applyAlignment="1">
      <alignment horizontal="center" vertical="center"/>
    </xf>
    <xf numFmtId="0" fontId="7" fillId="26" borderId="1" xfId="4" applyFont="1" applyFill="1" applyBorder="1" applyAlignment="1">
      <alignment horizontal="center" vertical="center"/>
    </xf>
    <xf numFmtId="0" fontId="6" fillId="27" borderId="5" xfId="0" applyFont="1" applyFill="1" applyBorder="1" applyAlignment="1">
      <alignment horizontal="center" vertical="center"/>
    </xf>
    <xf numFmtId="0" fontId="6" fillId="16" borderId="1" xfId="4" applyFont="1" applyFill="1" applyBorder="1" applyAlignment="1">
      <alignment horizontal="center" vertical="center"/>
    </xf>
    <xf numFmtId="0" fontId="5" fillId="4" borderId="0" xfId="1" applyFont="1" applyBorder="1" applyAlignment="1">
      <alignment vertical="center"/>
    </xf>
    <xf numFmtId="0" fontId="7" fillId="18" borderId="1" xfId="5" applyFont="1" applyFill="1" applyBorder="1" applyAlignment="1">
      <alignment horizontal="center" vertical="center"/>
    </xf>
    <xf numFmtId="0" fontId="5" fillId="4" borderId="2" xfId="1" applyFont="1" applyBorder="1" applyAlignment="1">
      <alignment horizontal="center" vertical="center"/>
    </xf>
    <xf numFmtId="0" fontId="5" fillId="5" borderId="1" xfId="2" applyFont="1" applyBorder="1" applyAlignment="1">
      <alignment horizontal="center" vertical="center"/>
    </xf>
    <xf numFmtId="0" fontId="7" fillId="17" borderId="1" xfId="4" applyFont="1" applyFill="1" applyBorder="1" applyAlignment="1">
      <alignment horizontal="center" vertical="center"/>
    </xf>
    <xf numFmtId="0" fontId="7" fillId="25" borderId="1" xfId="4" applyFont="1" applyFill="1" applyBorder="1" applyAlignment="1">
      <alignment horizontal="center" vertical="center"/>
    </xf>
    <xf numFmtId="0" fontId="8" fillId="23" borderId="1" xfId="4" applyFont="1" applyFill="1" applyBorder="1" applyAlignment="1">
      <alignment horizontal="center" vertical="center"/>
    </xf>
    <xf numFmtId="0" fontId="6" fillId="18" borderId="16" xfId="4" applyFont="1" applyFill="1" applyBorder="1" applyAlignment="1">
      <alignment horizontal="center" vertical="center" textRotation="90"/>
    </xf>
    <xf numFmtId="0" fontId="6" fillId="12" borderId="6" xfId="4" applyFont="1" applyFill="1" applyBorder="1" applyAlignment="1">
      <alignment horizontal="center" vertical="center"/>
    </xf>
    <xf numFmtId="0" fontId="6" fillId="15" borderId="1" xfId="4" applyFont="1" applyFill="1" applyBorder="1" applyAlignment="1">
      <alignment horizontal="center" vertical="center"/>
    </xf>
    <xf numFmtId="0" fontId="6" fillId="18" borderId="0" xfId="4" applyFont="1" applyFill="1" applyBorder="1" applyAlignment="1">
      <alignment horizontal="center" vertical="center" textRotation="90"/>
    </xf>
    <xf numFmtId="0" fontId="7" fillId="17" borderId="17" xfId="4" applyFont="1" applyFill="1" applyBorder="1" applyAlignment="1">
      <alignment horizontal="center" vertical="center"/>
    </xf>
    <xf numFmtId="0" fontId="6" fillId="16" borderId="8" xfId="4" applyFont="1" applyFill="1" applyBorder="1" applyAlignment="1">
      <alignment horizontal="center" vertical="center"/>
    </xf>
    <xf numFmtId="0" fontId="6" fillId="16" borderId="9" xfId="6" applyFont="1" applyFill="1" applyBorder="1" applyAlignment="1">
      <alignment horizontal="center" vertical="center"/>
    </xf>
    <xf numFmtId="0" fontId="12" fillId="5" borderId="1" xfId="2" applyFont="1" applyBorder="1" applyAlignment="1">
      <alignment horizontal="center" vertical="center"/>
    </xf>
    <xf numFmtId="0" fontId="6" fillId="16" borderId="19" xfId="6" applyFont="1" applyFill="1" applyBorder="1" applyAlignment="1">
      <alignment horizontal="center" vertical="center"/>
    </xf>
    <xf numFmtId="0" fontId="8" fillId="18" borderId="20" xfId="0" applyFont="1" applyFill="1" applyBorder="1" applyAlignment="1">
      <alignment horizontal="center" vertical="center"/>
    </xf>
    <xf numFmtId="0" fontId="6" fillId="12" borderId="14" xfId="4" applyFont="1" applyFill="1" applyBorder="1" applyAlignment="1">
      <alignment horizontal="center" vertical="center"/>
    </xf>
    <xf numFmtId="0" fontId="8" fillId="19" borderId="21" xfId="0" applyFont="1" applyFill="1" applyBorder="1" applyAlignment="1">
      <alignment horizontal="center" vertical="center"/>
    </xf>
    <xf numFmtId="0" fontId="7" fillId="17" borderId="15" xfId="4" applyFont="1" applyFill="1" applyBorder="1" applyAlignment="1">
      <alignment horizontal="center" vertical="center"/>
    </xf>
    <xf numFmtId="0" fontId="8" fillId="18" borderId="22" xfId="0" applyFont="1" applyFill="1" applyBorder="1" applyAlignment="1">
      <alignment horizontal="center" vertical="center"/>
    </xf>
    <xf numFmtId="0" fontId="5" fillId="4" borderId="13" xfId="1" applyFont="1" applyBorder="1" applyAlignment="1">
      <alignment horizontal="center" vertical="center"/>
    </xf>
    <xf numFmtId="0" fontId="5" fillId="4" borderId="16" xfId="1" applyFont="1" applyBorder="1" applyAlignment="1">
      <alignment horizontal="center" vertical="center"/>
    </xf>
    <xf numFmtId="0" fontId="5" fillId="4" borderId="2" xfId="1" applyFont="1" applyBorder="1" applyAlignment="1">
      <alignment horizontal="center" vertical="center"/>
    </xf>
    <xf numFmtId="0" fontId="5" fillId="4" borderId="18" xfId="1" applyFont="1" applyBorder="1" applyAlignment="1">
      <alignment horizontal="center" vertical="center"/>
    </xf>
  </cellXfs>
  <cellStyles count="11">
    <cellStyle name="20% - Accent1" xfId="1" builtinId="30"/>
    <cellStyle name="40% - Accent1" xfId="2" builtinId="31"/>
    <cellStyle name="40% - Accent2" xfId="3" builtinId="35"/>
    <cellStyle name="Accent2 2" xfId="8" xr:uid="{00000000-0005-0000-0000-000003000000}"/>
    <cellStyle name="Accent3 2" xfId="5" xr:uid="{00000000-0005-0000-0000-000004000000}"/>
    <cellStyle name="Accent4 2" xfId="6" xr:uid="{00000000-0005-0000-0000-000005000000}"/>
    <cellStyle name="Accent5 2" xfId="4" xr:uid="{00000000-0005-0000-0000-000006000000}"/>
    <cellStyle name="Accent6 2" xfId="7" xr:uid="{00000000-0005-0000-0000-000007000000}"/>
    <cellStyle name="Bad 2" xfId="9" xr:uid="{00000000-0005-0000-0000-000008000000}"/>
    <cellStyle name="Good 2" xfId="10" xr:uid="{00000000-0005-0000-0000-000009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18DD-633A-4150-99FA-87B58D9E8621}">
  <dimension ref="A1:L42"/>
  <sheetViews>
    <sheetView tabSelected="1" zoomScale="85" zoomScaleNormal="85" workbookViewId="0">
      <selection activeCell="I34" sqref="I34"/>
    </sheetView>
  </sheetViews>
  <sheetFormatPr defaultRowHeight="15" x14ac:dyDescent="0.25"/>
  <cols>
    <col min="2" max="2" width="28.140625" customWidth="1"/>
    <col min="3" max="12" width="12.7109375" customWidth="1"/>
  </cols>
  <sheetData>
    <row r="1" spans="1:12" ht="15" customHeight="1" x14ac:dyDescent="0.25">
      <c r="A1" s="1" t="s">
        <v>0</v>
      </c>
      <c r="B1" s="25" t="s">
        <v>1</v>
      </c>
      <c r="C1" s="2">
        <v>45756</v>
      </c>
      <c r="D1" s="2">
        <v>45757</v>
      </c>
      <c r="E1" s="2">
        <v>45758</v>
      </c>
      <c r="F1" s="2">
        <v>45759</v>
      </c>
      <c r="G1" s="2">
        <v>45760</v>
      </c>
      <c r="H1" s="2">
        <v>45761</v>
      </c>
      <c r="I1" s="2">
        <v>45762</v>
      </c>
      <c r="J1" s="2">
        <v>45763</v>
      </c>
      <c r="K1" s="2">
        <v>45764</v>
      </c>
      <c r="L1" s="2">
        <v>45765</v>
      </c>
    </row>
    <row r="2" spans="1:12" ht="15" customHeight="1" x14ac:dyDescent="0.25">
      <c r="A2" s="44"/>
      <c r="B2" s="45"/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26" t="s">
        <v>8</v>
      </c>
      <c r="I2" s="26" t="s">
        <v>2</v>
      </c>
      <c r="J2" s="26" t="s">
        <v>3</v>
      </c>
      <c r="K2" s="26" t="s">
        <v>4</v>
      </c>
      <c r="L2" s="26" t="s">
        <v>5</v>
      </c>
    </row>
    <row r="3" spans="1:12" ht="15.75" thickBot="1" x14ac:dyDescent="0.3">
      <c r="A3" s="26">
        <v>1</v>
      </c>
      <c r="B3" s="37" t="s">
        <v>22</v>
      </c>
      <c r="C3" s="3" t="s">
        <v>14</v>
      </c>
      <c r="D3" s="24" t="s">
        <v>10</v>
      </c>
      <c r="E3" s="24" t="s">
        <v>10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24" t="s">
        <v>10</v>
      </c>
      <c r="L3" s="24" t="s">
        <v>10</v>
      </c>
    </row>
    <row r="4" spans="1:12" ht="15" customHeight="1" thickBot="1" x14ac:dyDescent="0.3">
      <c r="A4" s="26">
        <v>2</v>
      </c>
      <c r="B4" s="37" t="s">
        <v>21</v>
      </c>
      <c r="C4" s="24" t="s">
        <v>10</v>
      </c>
      <c r="D4" s="29" t="s">
        <v>13</v>
      </c>
      <c r="E4" s="3" t="s">
        <v>14</v>
      </c>
      <c r="F4" s="3" t="s">
        <v>14</v>
      </c>
      <c r="G4" s="3" t="s">
        <v>14</v>
      </c>
      <c r="H4" s="6" t="s">
        <v>9</v>
      </c>
      <c r="I4" s="24" t="s">
        <v>10</v>
      </c>
      <c r="J4" s="24" t="s">
        <v>10</v>
      </c>
      <c r="K4" s="3" t="s">
        <v>14</v>
      </c>
      <c r="L4" s="3" t="s">
        <v>14</v>
      </c>
    </row>
    <row r="5" spans="1:12" ht="15" customHeight="1" x14ac:dyDescent="0.25">
      <c r="A5" s="26">
        <v>3</v>
      </c>
      <c r="B5" s="37" t="s">
        <v>11</v>
      </c>
      <c r="C5" s="3" t="s">
        <v>14</v>
      </c>
      <c r="D5" s="24" t="s">
        <v>10</v>
      </c>
      <c r="E5" s="24" t="s">
        <v>10</v>
      </c>
      <c r="F5" s="3" t="s">
        <v>14</v>
      </c>
      <c r="G5" s="3" t="s">
        <v>14</v>
      </c>
      <c r="H5" s="3" t="s">
        <v>14</v>
      </c>
      <c r="I5" s="3" t="s">
        <v>14</v>
      </c>
      <c r="J5" s="3" t="s">
        <v>14</v>
      </c>
      <c r="K5" s="24" t="s">
        <v>10</v>
      </c>
      <c r="L5" s="24" t="s">
        <v>10</v>
      </c>
    </row>
    <row r="6" spans="1:12" ht="15" hidden="1" customHeight="1" x14ac:dyDescent="0.25">
      <c r="A6" s="26">
        <v>4</v>
      </c>
      <c r="B6" s="37" t="s">
        <v>16</v>
      </c>
      <c r="C6" s="24" t="s">
        <v>10</v>
      </c>
      <c r="D6" s="24" t="s">
        <v>10</v>
      </c>
      <c r="E6" s="3" t="s">
        <v>14</v>
      </c>
      <c r="F6" s="3" t="s">
        <v>14</v>
      </c>
      <c r="G6" s="27" t="s">
        <v>12</v>
      </c>
      <c r="H6" s="27" t="s">
        <v>12</v>
      </c>
      <c r="I6" s="27" t="s">
        <v>12</v>
      </c>
      <c r="J6" s="24" t="s">
        <v>10</v>
      </c>
      <c r="K6" s="24" t="s">
        <v>10</v>
      </c>
      <c r="L6" s="3" t="s">
        <v>14</v>
      </c>
    </row>
    <row r="7" spans="1:12" ht="15" customHeight="1" thickBot="1" x14ac:dyDescent="0.3">
      <c r="A7" s="26">
        <v>4</v>
      </c>
      <c r="B7" s="37" t="s">
        <v>20</v>
      </c>
      <c r="C7" s="3" t="s">
        <v>14</v>
      </c>
      <c r="D7" s="3" t="s">
        <v>14</v>
      </c>
      <c r="E7" s="3" t="s">
        <v>14</v>
      </c>
      <c r="F7" s="24" t="s">
        <v>10</v>
      </c>
      <c r="G7" s="24" t="s">
        <v>10</v>
      </c>
      <c r="H7" s="3" t="s">
        <v>14</v>
      </c>
      <c r="I7" s="3" t="s">
        <v>14</v>
      </c>
      <c r="J7" s="3" t="s">
        <v>14</v>
      </c>
      <c r="K7" s="3" t="s">
        <v>14</v>
      </c>
      <c r="L7" s="3" t="s">
        <v>14</v>
      </c>
    </row>
    <row r="8" spans="1:12" ht="15" customHeight="1" thickBot="1" x14ac:dyDescent="0.3">
      <c r="A8" s="26">
        <v>5</v>
      </c>
      <c r="B8" s="37" t="s">
        <v>54</v>
      </c>
      <c r="C8" s="24" t="s">
        <v>59</v>
      </c>
      <c r="D8" s="3" t="s">
        <v>14</v>
      </c>
      <c r="E8" s="3" t="s">
        <v>14</v>
      </c>
      <c r="F8" s="3" t="s">
        <v>14</v>
      </c>
      <c r="G8" s="6" t="s">
        <v>9</v>
      </c>
      <c r="H8" s="24" t="s">
        <v>10</v>
      </c>
      <c r="I8" s="24" t="s">
        <v>10</v>
      </c>
      <c r="J8" s="6" t="s">
        <v>9</v>
      </c>
      <c r="K8" s="22" t="s">
        <v>17</v>
      </c>
      <c r="L8" s="22" t="s">
        <v>17</v>
      </c>
    </row>
    <row r="9" spans="1:12" ht="15" customHeight="1" x14ac:dyDescent="0.25">
      <c r="A9" s="26">
        <v>6</v>
      </c>
      <c r="B9" s="37" t="s">
        <v>24</v>
      </c>
      <c r="C9" s="27" t="s">
        <v>12</v>
      </c>
      <c r="D9" s="24" t="s">
        <v>10</v>
      </c>
      <c r="E9" s="24" t="s">
        <v>10</v>
      </c>
      <c r="F9" s="3" t="s">
        <v>14</v>
      </c>
      <c r="G9" s="22" t="s">
        <v>17</v>
      </c>
      <c r="H9" s="22" t="s">
        <v>17</v>
      </c>
      <c r="I9" s="22" t="s">
        <v>17</v>
      </c>
      <c r="J9" s="22" t="s">
        <v>17</v>
      </c>
      <c r="K9" s="24" t="s">
        <v>10</v>
      </c>
      <c r="L9" s="24" t="s">
        <v>10</v>
      </c>
    </row>
    <row r="10" spans="1:12" ht="15" customHeight="1" thickBot="1" x14ac:dyDescent="0.3">
      <c r="A10" s="26">
        <v>7</v>
      </c>
      <c r="B10" s="37" t="s">
        <v>19</v>
      </c>
      <c r="C10" s="3" t="s">
        <v>14</v>
      </c>
      <c r="D10" s="3" t="s">
        <v>14</v>
      </c>
      <c r="E10" s="24" t="s">
        <v>10</v>
      </c>
      <c r="F10" s="3" t="s">
        <v>14</v>
      </c>
      <c r="G10" s="3" t="s">
        <v>14</v>
      </c>
      <c r="H10" s="3" t="s">
        <v>14</v>
      </c>
      <c r="I10" s="3" t="s">
        <v>14</v>
      </c>
      <c r="J10" s="3" t="s">
        <v>14</v>
      </c>
      <c r="K10" s="3" t="s">
        <v>14</v>
      </c>
      <c r="L10" s="24" t="s">
        <v>10</v>
      </c>
    </row>
    <row r="11" spans="1:12" ht="15" customHeight="1" thickBot="1" x14ac:dyDescent="0.3">
      <c r="A11" s="26">
        <v>10</v>
      </c>
      <c r="B11" s="37" t="s">
        <v>57</v>
      </c>
      <c r="C11" s="22" t="s">
        <v>17</v>
      </c>
      <c r="D11" s="22" t="s">
        <v>17</v>
      </c>
      <c r="E11" s="22" t="s">
        <v>17</v>
      </c>
      <c r="F11" s="22" t="s">
        <v>17</v>
      </c>
      <c r="G11" s="24" t="s">
        <v>10</v>
      </c>
      <c r="H11" s="24" t="s">
        <v>10</v>
      </c>
      <c r="I11" s="6" t="s">
        <v>9</v>
      </c>
      <c r="J11" s="3" t="s">
        <v>14</v>
      </c>
      <c r="K11" s="3" t="s">
        <v>14</v>
      </c>
      <c r="L11" s="3" t="s">
        <v>14</v>
      </c>
    </row>
    <row r="12" spans="1:12" ht="15" customHeight="1" thickBot="1" x14ac:dyDescent="0.3">
      <c r="A12" s="26">
        <v>8</v>
      </c>
      <c r="B12" s="37" t="s">
        <v>55</v>
      </c>
      <c r="C12" s="24" t="s">
        <v>59</v>
      </c>
      <c r="D12" s="6" t="s">
        <v>9</v>
      </c>
      <c r="E12" s="6" t="s">
        <v>9</v>
      </c>
      <c r="F12" s="27" t="s">
        <v>12</v>
      </c>
      <c r="G12" s="27" t="s">
        <v>12</v>
      </c>
      <c r="H12" s="27" t="s">
        <v>58</v>
      </c>
      <c r="I12" s="24" t="s">
        <v>10</v>
      </c>
      <c r="J12" s="24" t="s">
        <v>59</v>
      </c>
      <c r="K12" s="6" t="s">
        <v>9</v>
      </c>
      <c r="L12" s="6" t="s">
        <v>9</v>
      </c>
    </row>
    <row r="13" spans="1:12" x14ac:dyDescent="0.25">
      <c r="A13" s="26">
        <v>5</v>
      </c>
      <c r="B13" s="37" t="s">
        <v>60</v>
      </c>
      <c r="C13" s="3" t="s">
        <v>14</v>
      </c>
      <c r="D13" s="24" t="s">
        <v>10</v>
      </c>
      <c r="E13" s="3" t="s">
        <v>14</v>
      </c>
      <c r="F13" s="3" t="s">
        <v>14</v>
      </c>
      <c r="G13" s="3" t="s">
        <v>14</v>
      </c>
      <c r="H13" s="3" t="s">
        <v>14</v>
      </c>
      <c r="I13" s="3" t="s">
        <v>14</v>
      </c>
      <c r="J13" s="3" t="s">
        <v>14</v>
      </c>
      <c r="K13" s="24" t="s">
        <v>10</v>
      </c>
      <c r="L13" s="3" t="s">
        <v>14</v>
      </c>
    </row>
    <row r="14" spans="1:12" ht="15" customHeight="1" x14ac:dyDescent="0.25">
      <c r="A14" s="26">
        <v>9</v>
      </c>
      <c r="B14" s="37" t="s">
        <v>15</v>
      </c>
      <c r="C14" s="27" t="s">
        <v>12</v>
      </c>
      <c r="D14" s="27" t="s">
        <v>12</v>
      </c>
      <c r="E14" s="27" t="s">
        <v>12</v>
      </c>
      <c r="F14" s="27" t="s">
        <v>12</v>
      </c>
      <c r="G14" s="24" t="s">
        <v>10</v>
      </c>
      <c r="H14" s="24" t="s">
        <v>10</v>
      </c>
      <c r="I14" s="27" t="s">
        <v>12</v>
      </c>
      <c r="J14" s="27" t="s">
        <v>12</v>
      </c>
      <c r="K14" s="27" t="s">
        <v>12</v>
      </c>
      <c r="L14" s="27" t="s">
        <v>12</v>
      </c>
    </row>
    <row r="15" spans="1:12" ht="15" customHeight="1" x14ac:dyDescent="0.25">
      <c r="A15" s="26">
        <v>11</v>
      </c>
      <c r="B15" s="37" t="s">
        <v>56</v>
      </c>
      <c r="C15" s="24" t="s">
        <v>10</v>
      </c>
      <c r="D15" s="24" t="s">
        <v>10</v>
      </c>
      <c r="E15" s="29" t="s">
        <v>13</v>
      </c>
      <c r="F15" s="29" t="s">
        <v>13</v>
      </c>
      <c r="G15" s="29" t="s">
        <v>13</v>
      </c>
      <c r="H15" s="29" t="s">
        <v>13</v>
      </c>
      <c r="I15" s="29" t="s">
        <v>13</v>
      </c>
      <c r="J15" s="24" t="s">
        <v>10</v>
      </c>
      <c r="K15" s="24" t="s">
        <v>10</v>
      </c>
      <c r="L15" s="29" t="s">
        <v>13</v>
      </c>
    </row>
    <row r="16" spans="1:12" ht="15" customHeight="1" x14ac:dyDescent="0.25">
      <c r="A16" s="26">
        <v>12</v>
      </c>
      <c r="B16" s="37" t="s">
        <v>61</v>
      </c>
      <c r="C16" s="28" t="s">
        <v>31</v>
      </c>
      <c r="D16" s="28" t="s">
        <v>31</v>
      </c>
      <c r="E16" s="28" t="s">
        <v>31</v>
      </c>
      <c r="F16" s="28" t="s">
        <v>31</v>
      </c>
      <c r="G16" s="28" t="s">
        <v>31</v>
      </c>
      <c r="H16" s="28" t="s">
        <v>31</v>
      </c>
      <c r="I16" s="28" t="s">
        <v>31</v>
      </c>
      <c r="J16" s="28" t="s">
        <v>31</v>
      </c>
      <c r="K16" s="28" t="s">
        <v>31</v>
      </c>
      <c r="L16" s="28" t="s">
        <v>31</v>
      </c>
    </row>
    <row r="17" spans="1:12" ht="15" customHeight="1" x14ac:dyDescent="0.25">
      <c r="A17" s="26">
        <v>13</v>
      </c>
      <c r="B17" s="37" t="s">
        <v>18</v>
      </c>
      <c r="C17" s="28" t="s">
        <v>31</v>
      </c>
      <c r="D17" s="28" t="s">
        <v>31</v>
      </c>
      <c r="E17" s="28" t="s">
        <v>31</v>
      </c>
      <c r="F17" s="28" t="s">
        <v>31</v>
      </c>
      <c r="G17" s="28" t="s">
        <v>31</v>
      </c>
      <c r="H17" s="28" t="s">
        <v>31</v>
      </c>
      <c r="I17" s="28" t="s">
        <v>31</v>
      </c>
      <c r="J17" s="28" t="s">
        <v>31</v>
      </c>
      <c r="K17" s="28" t="s">
        <v>31</v>
      </c>
      <c r="L17" s="28" t="s">
        <v>31</v>
      </c>
    </row>
    <row r="18" spans="1:12" ht="15" customHeight="1" x14ac:dyDescent="0.25">
      <c r="A18" s="26">
        <v>14</v>
      </c>
      <c r="B18" s="37" t="s">
        <v>23</v>
      </c>
      <c r="C18" s="28" t="s">
        <v>31</v>
      </c>
      <c r="D18" s="28" t="s">
        <v>31</v>
      </c>
      <c r="E18" s="28" t="s">
        <v>31</v>
      </c>
      <c r="F18" s="28" t="s">
        <v>31</v>
      </c>
      <c r="G18" s="28" t="s">
        <v>31</v>
      </c>
      <c r="H18" s="28" t="s">
        <v>31</v>
      </c>
      <c r="I18" s="28" t="s">
        <v>31</v>
      </c>
      <c r="J18" s="28" t="s">
        <v>31</v>
      </c>
      <c r="K18" s="28" t="s">
        <v>31</v>
      </c>
      <c r="L18" s="28" t="s">
        <v>31</v>
      </c>
    </row>
    <row r="19" spans="1:12" x14ac:dyDescent="0.25">
      <c r="A19" s="46"/>
      <c r="B19" s="47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15.75" hidden="1" thickBot="1" x14ac:dyDescent="0.3">
      <c r="A20" s="30"/>
      <c r="B20" s="31" t="s">
        <v>14</v>
      </c>
      <c r="C20" s="3">
        <f>COUNTIF(C3:C19,"M")</f>
        <v>5</v>
      </c>
      <c r="D20" s="3">
        <f>COUNTIF(D3:D19,"M")</f>
        <v>3</v>
      </c>
      <c r="E20" s="3">
        <f>COUNTIF(E3:E19,"M")</f>
        <v>5</v>
      </c>
      <c r="F20" s="3">
        <f>COUNTIF(F3:F19,"M")</f>
        <v>8</v>
      </c>
      <c r="G20" s="3">
        <f>COUNTIF(G3:G19,"M")</f>
        <v>5</v>
      </c>
      <c r="H20" s="3">
        <f>COUNTIF(H3:H19,"M")</f>
        <v>5</v>
      </c>
      <c r="I20" s="3">
        <f>COUNTIF(I3:I19,"M")</f>
        <v>5</v>
      </c>
      <c r="J20" s="3">
        <f>COUNTIF(J3:J19,"M")</f>
        <v>6</v>
      </c>
      <c r="K20" s="3">
        <f>COUNTIF(K3:K19,"M")</f>
        <v>4</v>
      </c>
      <c r="L20" s="3">
        <f>COUNTIF(L3:L19,"M")</f>
        <v>5</v>
      </c>
    </row>
    <row r="21" spans="1:12" hidden="1" x14ac:dyDescent="0.25">
      <c r="A21" s="30"/>
      <c r="B21" s="32" t="s">
        <v>9</v>
      </c>
      <c r="C21" s="32">
        <f>COUNTIF(C4:C19,"B")</f>
        <v>0</v>
      </c>
      <c r="D21" s="32">
        <f>COUNTIF(D4:D19,"B")</f>
        <v>1</v>
      </c>
      <c r="E21" s="32">
        <f>COUNTIF(E4:E19,"B")</f>
        <v>1</v>
      </c>
      <c r="F21" s="32">
        <f>COUNTIF(F4:F19,"B")</f>
        <v>0</v>
      </c>
      <c r="G21" s="32">
        <f>COUNTIF(G4:G19,"B")</f>
        <v>1</v>
      </c>
      <c r="H21" s="32">
        <f>COUNTIF(H4:H19,"B")</f>
        <v>1</v>
      </c>
      <c r="I21" s="32">
        <f>COUNTIF(I4:I19,"B")</f>
        <v>1</v>
      </c>
      <c r="J21" s="32">
        <f>COUNTIF(J4:J19,"B")</f>
        <v>1</v>
      </c>
      <c r="K21" s="32">
        <f>COUNTIF(K4:K19,"B")</f>
        <v>1</v>
      </c>
      <c r="L21" s="32">
        <f>COUNTIF(L4:L19,"B")</f>
        <v>1</v>
      </c>
    </row>
    <row r="22" spans="1:12" ht="12" hidden="1" customHeight="1" x14ac:dyDescent="0.25">
      <c r="A22" s="33"/>
      <c r="B22" s="34" t="s">
        <v>12</v>
      </c>
      <c r="C22" s="27">
        <f>COUNTIF(C3:C19,"E")</f>
        <v>2</v>
      </c>
      <c r="D22" s="27">
        <f>COUNTIF(D3:D19,"E")</f>
        <v>1</v>
      </c>
      <c r="E22" s="27">
        <f>COUNTIF(E3:E19,"E")</f>
        <v>1</v>
      </c>
      <c r="F22" s="27">
        <f>COUNTIF(F3:F19,"E")</f>
        <v>2</v>
      </c>
      <c r="G22" s="27">
        <f>COUNTIF(G3:G19,"E")</f>
        <v>2</v>
      </c>
      <c r="H22" s="27">
        <f>COUNTIF(H3:H19,"E")</f>
        <v>1</v>
      </c>
      <c r="I22" s="27">
        <f>COUNTIF(I3:I19,"E")</f>
        <v>2</v>
      </c>
      <c r="J22" s="27">
        <f>COUNTIF(J3:J19,"E")</f>
        <v>1</v>
      </c>
      <c r="K22" s="27">
        <f>COUNTIF(K3:K19,"E")</f>
        <v>1</v>
      </c>
      <c r="L22" s="27">
        <f>COUNTIF(L3:L19,"E")</f>
        <v>1</v>
      </c>
    </row>
    <row r="23" spans="1:12" hidden="1" x14ac:dyDescent="0.25">
      <c r="A23" s="7"/>
      <c r="B23" s="35" t="s">
        <v>17</v>
      </c>
      <c r="C23" s="36">
        <f>COUNTIF(C3:C19,"N")</f>
        <v>1</v>
      </c>
      <c r="D23" s="36">
        <f>COUNTIF(D3:D19,"N")</f>
        <v>1</v>
      </c>
      <c r="E23" s="36">
        <f>COUNTIF(E3:E19,"N")</f>
        <v>1</v>
      </c>
      <c r="F23" s="36">
        <f>COUNTIF(F3:F19,"N")</f>
        <v>1</v>
      </c>
      <c r="G23" s="36">
        <f>COUNTIF(G3:G19,"N")</f>
        <v>1</v>
      </c>
      <c r="H23" s="36">
        <f>COUNTIF(H3:H19,"N")</f>
        <v>1</v>
      </c>
      <c r="I23" s="36">
        <f>COUNTIF(I3:I19,"N")</f>
        <v>1</v>
      </c>
      <c r="J23" s="36">
        <f>COUNTIF(J3:J19,"N")</f>
        <v>1</v>
      </c>
      <c r="K23" s="36">
        <f>COUNTIF(K3:K19,"N")</f>
        <v>1</v>
      </c>
      <c r="L23" s="36">
        <f>COUNTIF(L3:L19,"N")</f>
        <v>1</v>
      </c>
    </row>
    <row r="24" spans="1:12" ht="15.75" thickBot="1" x14ac:dyDescent="0.3"/>
    <row r="25" spans="1:12" x14ac:dyDescent="0.25">
      <c r="A25" s="40" t="s">
        <v>14</v>
      </c>
      <c r="B25" s="41" t="s">
        <v>25</v>
      </c>
    </row>
    <row r="26" spans="1:12" ht="15.75" thickBot="1" x14ac:dyDescent="0.3">
      <c r="A26" s="42" t="s">
        <v>12</v>
      </c>
      <c r="B26" s="43" t="s">
        <v>26</v>
      </c>
    </row>
    <row r="27" spans="1:12" ht="15.75" thickBot="1" x14ac:dyDescent="0.3">
      <c r="A27" s="38" t="s">
        <v>17</v>
      </c>
      <c r="B27" s="39" t="s">
        <v>27</v>
      </c>
    </row>
    <row r="28" spans="1:12" ht="15.75" thickBot="1" x14ac:dyDescent="0.3">
      <c r="A28" s="6" t="s">
        <v>9</v>
      </c>
      <c r="B28" s="8" t="s">
        <v>28</v>
      </c>
    </row>
    <row r="29" spans="1:12" ht="15.75" thickBot="1" x14ac:dyDescent="0.3">
      <c r="A29" s="5" t="s">
        <v>29</v>
      </c>
      <c r="B29" s="9" t="s">
        <v>30</v>
      </c>
    </row>
    <row r="30" spans="1:12" ht="15.75" thickBot="1" x14ac:dyDescent="0.3">
      <c r="A30" s="10" t="s">
        <v>31</v>
      </c>
      <c r="B30" s="9" t="s">
        <v>32</v>
      </c>
    </row>
    <row r="31" spans="1:12" ht="15.75" thickBot="1" x14ac:dyDescent="0.3">
      <c r="A31" s="11" t="s">
        <v>33</v>
      </c>
      <c r="B31" s="9" t="s">
        <v>34</v>
      </c>
    </row>
    <row r="32" spans="1:12" ht="15.75" thickBot="1" x14ac:dyDescent="0.3">
      <c r="A32" s="12" t="s">
        <v>13</v>
      </c>
      <c r="B32" s="9" t="s">
        <v>35</v>
      </c>
    </row>
    <row r="33" spans="1:2" ht="15.75" thickBot="1" x14ac:dyDescent="0.3">
      <c r="A33" s="13" t="s">
        <v>36</v>
      </c>
      <c r="B33" s="9" t="s">
        <v>37</v>
      </c>
    </row>
    <row r="34" spans="1:2" ht="15.75" thickBot="1" x14ac:dyDescent="0.3">
      <c r="A34" s="14" t="s">
        <v>38</v>
      </c>
      <c r="B34" s="9" t="s">
        <v>39</v>
      </c>
    </row>
    <row r="35" spans="1:2" ht="15.75" thickBot="1" x14ac:dyDescent="0.3">
      <c r="A35" s="15" t="s">
        <v>40</v>
      </c>
      <c r="B35" s="9" t="s">
        <v>41</v>
      </c>
    </row>
    <row r="36" spans="1:2" ht="15.75" thickBot="1" x14ac:dyDescent="0.3">
      <c r="A36" s="4" t="s">
        <v>10</v>
      </c>
      <c r="B36" s="9" t="s">
        <v>42</v>
      </c>
    </row>
    <row r="37" spans="1:2" ht="15.75" thickBot="1" x14ac:dyDescent="0.3">
      <c r="A37" s="16" t="s">
        <v>43</v>
      </c>
      <c r="B37" s="9" t="s">
        <v>44</v>
      </c>
    </row>
    <row r="38" spans="1:2" ht="15.75" thickBot="1" x14ac:dyDescent="0.3">
      <c r="A38" s="17" t="s">
        <v>45</v>
      </c>
      <c r="B38" s="9" t="s">
        <v>46</v>
      </c>
    </row>
    <row r="39" spans="1:2" ht="15.75" thickBot="1" x14ac:dyDescent="0.3">
      <c r="A39" s="18" t="s">
        <v>47</v>
      </c>
      <c r="B39" s="9" t="s">
        <v>48</v>
      </c>
    </row>
    <row r="40" spans="1:2" ht="15.75" thickBot="1" x14ac:dyDescent="0.3">
      <c r="A40" s="19" t="s">
        <v>49</v>
      </c>
      <c r="B40" s="9" t="s">
        <v>50</v>
      </c>
    </row>
    <row r="41" spans="1:2" ht="15.75" thickBot="1" x14ac:dyDescent="0.3">
      <c r="A41" s="20" t="s">
        <v>29</v>
      </c>
      <c r="B41" s="9" t="s">
        <v>51</v>
      </c>
    </row>
    <row r="42" spans="1:2" ht="15.75" thickBot="1" x14ac:dyDescent="0.3">
      <c r="A42" s="21" t="s">
        <v>52</v>
      </c>
      <c r="B42" s="9" t="s">
        <v>53</v>
      </c>
    </row>
  </sheetData>
  <mergeCells count="2">
    <mergeCell ref="A2:B2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Nabil, Mostafa (MAK)</dc:creator>
  <cp:keywords/>
  <dc:description/>
  <cp:lastModifiedBy>Mostafa NABIL</cp:lastModifiedBy>
  <cp:revision/>
  <dcterms:created xsi:type="dcterms:W3CDTF">2023-12-17T15:54:15Z</dcterms:created>
  <dcterms:modified xsi:type="dcterms:W3CDTF">2026-04-08T10:00:01Z</dcterms:modified>
  <cp:category/>
  <cp:contentStatus/>
</cp:coreProperties>
</file>