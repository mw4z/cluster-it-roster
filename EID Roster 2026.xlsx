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dy\Downloads\whatsapp-bot - EN\"/>
    </mc:Choice>
  </mc:AlternateContent>
  <xr:revisionPtr revIDLastSave="0" documentId="13_ncr:1_{7FA74D58-41C6-4392-9B67-4B5162A172C7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EID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C21" i="8"/>
  <c r="C22" i="8"/>
  <c r="C23" i="8"/>
  <c r="D20" i="8"/>
  <c r="E20" i="8"/>
  <c r="F20" i="8"/>
  <c r="D21" i="8"/>
  <c r="E21" i="8"/>
  <c r="F21" i="8"/>
  <c r="D22" i="8"/>
  <c r="E22" i="8"/>
  <c r="F22" i="8"/>
  <c r="D23" i="8"/>
  <c r="E23" i="8"/>
  <c r="F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J23" i="8"/>
  <c r="I23" i="8"/>
  <c r="H23" i="8"/>
  <c r="G23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J22" i="8"/>
  <c r="I22" i="8"/>
  <c r="H22" i="8"/>
  <c r="G22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V20" i="8"/>
  <c r="U20" i="8"/>
  <c r="T20" i="8"/>
  <c r="S20" i="8"/>
  <c r="R20" i="8"/>
  <c r="Q20" i="8"/>
  <c r="O20" i="8"/>
  <c r="K20" i="8"/>
  <c r="J20" i="8"/>
  <c r="H20" i="8"/>
  <c r="G20" i="8"/>
</calcChain>
</file>

<file path=xl/sharedStrings.xml><?xml version="1.0" encoding="utf-8"?>
<sst xmlns="http://schemas.openxmlformats.org/spreadsheetml/2006/main" count="645" uniqueCount="80">
  <si>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</si>
  <si>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</si>
  <si>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</si>
  <si>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</si>
  <si>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</si>
  <si>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</si>
  <si>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</si>
  <si>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</si>
  <si>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</si>
  <si>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</si>
  <si>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</si>
  <si>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</si>
  <si>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</si>
  <si>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</si>
  <si>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</si>
  <si>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</si>
  <si>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 xml:space="preserve">Abdulrhman zawawi </t>
  </si>
  <si>
    <t>N</t>
  </si>
  <si>
    <t>Hassan, Islam</t>
  </si>
  <si>
    <t>Mostafa Nabil</t>
  </si>
  <si>
    <t>Saad Marwan</t>
  </si>
  <si>
    <t xml:space="preserve">ziyad al zahrani </t>
  </si>
  <si>
    <t>Alamoudi, Abdulrhman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</si>
  <si>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</si>
  <si>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</si>
  <si>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</si>
  <si>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</si>
  <si>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</si>
  <si>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</si>
  <si>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</si>
  <si>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</si>
  <si>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</si>
  <si>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</si>
  <si>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</si>
  <si>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</si>
  <si>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</si>
  <si>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</si>
  <si>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</si>
  <si>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</si>
  <si>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</si>
  <si>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</si>
  <si>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</si>
  <si>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</si>
  <si>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</si>
  <si>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</si>
  <si>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</si>
  <si>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</si>
  <si>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</si>
  <si>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</si>
  <si>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</si>
  <si>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</si>
  <si>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</si>
  <si>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</si>
  <si>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</si>
  <si>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</si>
  <si>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Meshari Alharithi</t>
  </si>
  <si>
    <t xml:space="preserve"> </t>
  </si>
  <si>
    <t>08:00 AM - 14:00 PM</t>
  </si>
  <si>
    <t>08:00 AM - 17:00 PM</t>
  </si>
  <si>
    <t>11:00 AM - 17:00 PM</t>
  </si>
  <si>
    <t>15:00 PM - 00:00 AM</t>
  </si>
  <si>
    <t>14:00 PM - 23:00 PM</t>
  </si>
  <si>
    <t>11:00 PM - 08:00 AM</t>
  </si>
  <si>
    <t>10:00 AM - 16:00 PM</t>
  </si>
  <si>
    <t>M-z</t>
  </si>
  <si>
    <t>OFF--x</t>
  </si>
  <si>
    <t>E-z</t>
  </si>
  <si>
    <t>N-z</t>
  </si>
  <si>
    <t>OFF-x</t>
  </si>
  <si>
    <t>3/20/2025 EID</t>
  </si>
  <si>
    <t>8:00 AM - 14:00 PM</t>
  </si>
  <si>
    <t>15:00 PM - 00:00 AM-z</t>
  </si>
  <si>
    <t>Sick Leave</t>
  </si>
  <si>
    <t>11:00 PM - 11:00 AM</t>
  </si>
  <si>
    <t>Farhan Salah Eldin</t>
  </si>
  <si>
    <t>11:00 PM - 11:00 AM-z</t>
  </si>
  <si>
    <t>Salem Seif</t>
  </si>
  <si>
    <t>14:00 PM - 20:00 PM</t>
  </si>
  <si>
    <t>Abdulmajeed Othman</t>
  </si>
  <si>
    <t xml:space="preserve">Mohammed Alkhattabi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</si>
</sst>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51">
    <xf numFmtId="0" fontId="0" fillId="0" borderId="0" xfId="0"/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 textRotation="90"/>
    </xf>
    <xf numFmtId="0" fontId="9" fillId="0" borderId="0" xfId="0" applyFont="1" applyAlignment="1">
      <alignment horizontal="center"/>
    </xf>
    <xf numFmtId="0" fontId="10" fillId="0" borderId="10" xfId="6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1" fillId="3" borderId="3" xfId="9" applyFont="1" applyBorder="1" applyAlignment="1">
      <alignment horizontal="center" vertical="center"/>
    </xf>
    <xf numFmtId="0" fontId="12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16" fontId="5" fillId="28" borderId="1" xfId="1" applyNumberFormat="1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7" fillId="18" borderId="1" xfId="5" applyFont="1" applyFill="1" applyBorder="1" applyAlignment="1">
      <alignment horizontal="center"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8" fillId="23" borderId="1" xfId="4" applyFont="1" applyFill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 textRotation="90"/>
    </xf>
    <xf numFmtId="0" fontId="6" fillId="12" borderId="6" xfId="4" applyFont="1" applyFill="1" applyBorder="1" applyAlignment="1">
      <alignment horizontal="center" vertical="center"/>
    </xf>
    <xf numFmtId="0" fontId="6" fillId="15" borderId="1" xfId="4" applyFont="1" applyFill="1" applyBorder="1" applyAlignment="1">
      <alignment horizontal="center" vertical="center"/>
    </xf>
    <xf numFmtId="0" fontId="6" fillId="18" borderId="0" xfId="4" applyFont="1" applyFill="1" applyBorder="1" applyAlignment="1">
      <alignment horizontal="center" vertical="center" textRotation="90"/>
    </xf>
    <xf numFmtId="0" fontId="7" fillId="17" borderId="18" xfId="4" applyFont="1" applyFill="1" applyBorder="1" applyAlignment="1">
      <alignment horizontal="center" vertical="center"/>
    </xf>
    <xf numFmtId="0" fontId="6" fillId="16" borderId="8" xfId="4" applyFont="1" applyFill="1" applyBorder="1" applyAlignment="1">
      <alignment horizontal="center" vertical="center"/>
    </xf>
    <xf numFmtId="0" fontId="6" fillId="16" borderId="9" xfId="6" applyFont="1" applyFill="1" applyBorder="1" applyAlignment="1">
      <alignment horizontal="center" vertical="center"/>
    </xf>
    <xf numFmtId="0" fontId="7" fillId="18" borderId="19" xfId="5" applyFont="1" applyFill="1" applyBorder="1" applyAlignment="1">
      <alignment horizontal="center" vertical="center"/>
    </xf>
    <xf numFmtId="0" fontId="7" fillId="17" borderId="19" xfId="4" applyFont="1" applyFill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6" fillId="16" borderId="20" xfId="6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6" fillId="12" borderId="15" xfId="4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7" fillId="17" borderId="16" xfId="4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17" xfId="1" applyFont="1" applyBorder="1" applyAlignment="1">
      <alignment horizontal="center" vertical="center"/>
    </xf>
    <xf numFmtId="0" fontId="5" fillId="4" borderId="14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18DD-633A-4150-99FA-87B58D9E8621}">
  <dimension ref="A1:AK42"/>
  <sheetViews>
    <sheetView tabSelected="1" zoomScale="85" zoomScaleNormal="85" workbookViewId="0">
      <selection activeCell="W35" sqref="W35"/>
    </sheetView>
  </sheetViews>
  <sheetFormatPr defaultRowHeight="15" x14ac:dyDescent="0.25"/>
  <cols>
    <col min="2" max="2" width="28.140625" customWidth="1"/>
    <col min="3" max="3" width="21.85546875" customWidth="1"/>
    <col min="4" max="4" width="23.28515625" customWidth="1"/>
    <col min="5" max="6" width="23.140625" bestFit="1" customWidth="1"/>
    <col min="7" max="7" width="24.140625" customWidth="1"/>
    <col min="8" max="8" width="16" customWidth="1"/>
    <col min="9" max="37" width="12.7109375" customWidth="1"/>
  </cols>
  <sheetData>
    <row r="1" spans="1:37" ht="15" customHeight="1" x14ac:dyDescent="0.25">
      <c r="A1" s="1" t="s">
        <v>0</v>
      </c>
      <c r="B1" s="27" t="s">
        <v>1</v>
      </c>
      <c r="C1" s="2">
        <v>45731</v>
      </c>
      <c r="D1" s="2">
        <v>45732</v>
      </c>
      <c r="E1" s="2">
        <v>45733</v>
      </c>
      <c r="F1" s="2">
        <v>45734</v>
      </c>
      <c r="G1" s="2">
        <v>45735</v>
      </c>
      <c r="H1" s="23" t="s">
        <v>69</v>
      </c>
      <c r="I1" s="2">
        <v>45737</v>
      </c>
      <c r="J1" s="2">
        <v>45738</v>
      </c>
      <c r="K1" s="2">
        <v>45739</v>
      </c>
      <c r="L1" s="2">
        <v>45740</v>
      </c>
      <c r="M1" s="2">
        <v>45741</v>
      </c>
      <c r="N1" s="2">
        <v>45742</v>
      </c>
      <c r="O1" s="2">
        <v>45743</v>
      </c>
      <c r="P1" s="2">
        <v>45744</v>
      </c>
      <c r="Q1" s="2">
        <v>45745</v>
      </c>
      <c r="R1" s="2">
        <v>45746</v>
      </c>
      <c r="S1" s="2">
        <v>45747</v>
      </c>
      <c r="T1" s="2">
        <v>45748</v>
      </c>
      <c r="U1" s="2">
        <v>45749</v>
      </c>
      <c r="V1" s="2">
        <v>45750</v>
      </c>
      <c r="W1" s="2">
        <v>45751</v>
      </c>
      <c r="X1" s="2">
        <v>45752</v>
      </c>
      <c r="Y1" s="2">
        <v>45753</v>
      </c>
      <c r="Z1" s="2">
        <v>45754</v>
      </c>
      <c r="AA1" s="2">
        <v>45755</v>
      </c>
      <c r="AB1" s="2">
        <v>45756</v>
      </c>
      <c r="AC1" s="2">
        <v>45757</v>
      </c>
      <c r="AD1" s="2">
        <v>45758</v>
      </c>
      <c r="AE1" s="2">
        <v>45759</v>
      </c>
      <c r="AF1" s="2">
        <v>45760</v>
      </c>
      <c r="AG1" s="2">
        <v>45761</v>
      </c>
      <c r="AH1" s="2">
        <v>45762</v>
      </c>
      <c r="AI1" s="2">
        <v>45763</v>
      </c>
      <c r="AJ1" s="2">
        <v>45764</v>
      </c>
      <c r="AK1" s="2">
        <v>45765</v>
      </c>
    </row>
    <row r="2" spans="1:37" ht="15" customHeight="1" x14ac:dyDescent="0.25">
      <c r="A2" s="48"/>
      <c r="B2" s="49"/>
      <c r="C2" s="28" t="s">
        <v>6</v>
      </c>
      <c r="D2" s="28" t="s">
        <v>7</v>
      </c>
      <c r="E2" s="28" t="s">
        <v>8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6</v>
      </c>
      <c r="K2" s="28" t="s">
        <v>7</v>
      </c>
      <c r="L2" s="28" t="s">
        <v>8</v>
      </c>
      <c r="M2" s="28" t="s">
        <v>2</v>
      </c>
      <c r="N2" s="28" t="s">
        <v>3</v>
      </c>
      <c r="O2" s="28" t="s">
        <v>4</v>
      </c>
      <c r="P2" s="28" t="s">
        <v>5</v>
      </c>
      <c r="Q2" s="28" t="s">
        <v>6</v>
      </c>
      <c r="R2" s="28" t="s">
        <v>7</v>
      </c>
      <c r="S2" s="28" t="s">
        <v>8</v>
      </c>
      <c r="T2" s="28" t="s">
        <v>2</v>
      </c>
      <c r="U2" s="28" t="s">
        <v>3</v>
      </c>
      <c r="V2" s="28" t="s">
        <v>4</v>
      </c>
      <c r="W2" s="28" t="s">
        <v>5</v>
      </c>
      <c r="X2" s="28" t="s">
        <v>6</v>
      </c>
      <c r="Y2" s="28" t="s">
        <v>7</v>
      </c>
      <c r="Z2" s="28" t="s">
        <v>8</v>
      </c>
      <c r="AA2" s="28" t="s">
        <v>2</v>
      </c>
      <c r="AB2" s="28" t="s">
        <v>3</v>
      </c>
      <c r="AC2" s="28" t="s">
        <v>4</v>
      </c>
      <c r="AD2" s="28" t="s">
        <v>5</v>
      </c>
      <c r="AE2" s="28" t="s">
        <v>6</v>
      </c>
      <c r="AF2" s="28" t="s">
        <v>7</v>
      </c>
      <c r="AG2" s="28" t="s">
        <v>8</v>
      </c>
      <c r="AH2" s="28" t="s">
        <v>2</v>
      </c>
      <c r="AI2" s="28" t="s">
        <v>3</v>
      </c>
      <c r="AJ2" s="28" t="s">
        <v>4</v>
      </c>
      <c r="AK2" s="28" t="s">
        <v>5</v>
      </c>
    </row>
    <row r="3" spans="1:37" ht="15" customHeight="1" x14ac:dyDescent="0.25">
      <c r="A3" s="28">
        <v>1</v>
      </c>
      <c r="B3" s="41" t="s">
        <v>76</v>
      </c>
      <c r="C3" s="39" t="s">
        <v>10</v>
      </c>
      <c r="D3" s="40" t="s">
        <v>77</v>
      </c>
      <c r="E3" s="40" t="s">
        <v>77</v>
      </c>
      <c r="F3" s="40" t="s">
        <v>77</v>
      </c>
      <c r="G3" s="40" t="s">
        <v>77</v>
      </c>
      <c r="H3" s="3" t="s">
        <v>14</v>
      </c>
      <c r="I3" s="3" t="s">
        <v>14</v>
      </c>
      <c r="J3" s="3" t="s">
        <v>64</v>
      </c>
      <c r="K3" s="3" t="s">
        <v>14</v>
      </c>
      <c r="L3" s="3" t="s">
        <v>14</v>
      </c>
      <c r="M3" s="3" t="s">
        <v>14</v>
      </c>
      <c r="N3" s="3" t="s">
        <v>14</v>
      </c>
      <c r="O3" s="3" t="s">
        <v>14</v>
      </c>
      <c r="P3" s="3" t="s">
        <v>14</v>
      </c>
      <c r="Q3" s="39" t="s">
        <v>10</v>
      </c>
      <c r="R3" s="3" t="s">
        <v>14</v>
      </c>
      <c r="S3" s="3" t="s">
        <v>14</v>
      </c>
      <c r="T3" s="3" t="s">
        <v>14</v>
      </c>
      <c r="U3" s="3" t="s">
        <v>14</v>
      </c>
      <c r="V3" s="3" t="s">
        <v>14</v>
      </c>
      <c r="W3" s="3" t="s">
        <v>14</v>
      </c>
      <c r="X3" s="26" t="s">
        <v>10</v>
      </c>
      <c r="Y3" s="3" t="s">
        <v>14</v>
      </c>
      <c r="Z3" s="30" t="s">
        <v>30</v>
      </c>
      <c r="AA3" s="30" t="s">
        <v>30</v>
      </c>
      <c r="AB3" s="30" t="s">
        <v>30</v>
      </c>
      <c r="AC3" s="30" t="s">
        <v>30</v>
      </c>
      <c r="AD3" s="30" t="s">
        <v>30</v>
      </c>
      <c r="AE3" s="30" t="s">
        <v>30</v>
      </c>
      <c r="AF3" s="30" t="s">
        <v>30</v>
      </c>
      <c r="AG3" s="30" t="s">
        <v>30</v>
      </c>
      <c r="AH3" s="30" t="s">
        <v>30</v>
      </c>
      <c r="AI3" s="30" t="s">
        <v>30</v>
      </c>
      <c r="AJ3" s="30" t="s">
        <v>30</v>
      </c>
      <c r="AK3" s="30" t="s">
        <v>30</v>
      </c>
    </row>
    <row r="4" spans="1:37" ht="15" customHeight="1" thickBot="1" x14ac:dyDescent="0.3">
      <c r="A4" s="28">
        <v>2</v>
      </c>
      <c r="B4" s="41" t="s">
        <v>21</v>
      </c>
      <c r="C4" s="24" t="s">
        <v>62</v>
      </c>
      <c r="D4" s="24" t="s">
        <v>62</v>
      </c>
      <c r="E4" s="24" t="s">
        <v>62</v>
      </c>
      <c r="F4" s="24" t="s">
        <v>62</v>
      </c>
      <c r="G4" s="24" t="s">
        <v>73</v>
      </c>
      <c r="H4" s="26" t="s">
        <v>10</v>
      </c>
      <c r="I4" s="26" t="s">
        <v>10</v>
      </c>
      <c r="J4" s="31" t="s">
        <v>13</v>
      </c>
      <c r="K4" s="31" t="s">
        <v>13</v>
      </c>
      <c r="L4" s="31" t="s">
        <v>13</v>
      </c>
      <c r="M4" s="31" t="s">
        <v>13</v>
      </c>
      <c r="N4" s="31" t="s">
        <v>13</v>
      </c>
      <c r="O4" s="26" t="s">
        <v>10</v>
      </c>
      <c r="P4" s="26" t="s">
        <v>10</v>
      </c>
      <c r="Q4" s="3" t="s">
        <v>14</v>
      </c>
      <c r="R4" s="3" t="s">
        <v>14</v>
      </c>
      <c r="S4" s="3" t="s">
        <v>14</v>
      </c>
      <c r="T4" s="3" t="s">
        <v>14</v>
      </c>
      <c r="U4" s="3" t="s">
        <v>14</v>
      </c>
      <c r="V4" s="26" t="s">
        <v>10</v>
      </c>
      <c r="W4" s="26" t="s">
        <v>10</v>
      </c>
      <c r="X4" s="3" t="s">
        <v>14</v>
      </c>
      <c r="Y4" s="3" t="s">
        <v>14</v>
      </c>
      <c r="Z4" s="3" t="s">
        <v>14</v>
      </c>
      <c r="AA4" s="3" t="s">
        <v>14</v>
      </c>
      <c r="AB4" s="3" t="s">
        <v>14</v>
      </c>
      <c r="AC4" s="26" t="s">
        <v>10</v>
      </c>
      <c r="AD4" s="26" t="s">
        <v>10</v>
      </c>
      <c r="AE4" s="3" t="s">
        <v>14</v>
      </c>
      <c r="AF4" s="3" t="s">
        <v>14</v>
      </c>
      <c r="AG4" s="3" t="s">
        <v>14</v>
      </c>
      <c r="AH4" s="3" t="s">
        <v>14</v>
      </c>
      <c r="AI4" s="3" t="s">
        <v>14</v>
      </c>
      <c r="AJ4" s="26" t="s">
        <v>10</v>
      </c>
      <c r="AK4" s="26" t="s">
        <v>10</v>
      </c>
    </row>
    <row r="5" spans="1:37" ht="15" customHeight="1" thickBot="1" x14ac:dyDescent="0.3">
      <c r="A5" s="28">
        <v>3</v>
      </c>
      <c r="B5" s="41" t="s">
        <v>79</v>
      </c>
      <c r="C5" s="24" t="s">
        <v>62</v>
      </c>
      <c r="D5" s="24" t="s">
        <v>62</v>
      </c>
      <c r="E5" s="24" t="s">
        <v>62</v>
      </c>
      <c r="F5" s="26" t="s">
        <v>10</v>
      </c>
      <c r="G5" s="24" t="s">
        <v>75</v>
      </c>
      <c r="H5" s="24" t="s">
        <v>17</v>
      </c>
      <c r="I5" s="24" t="s">
        <v>17</v>
      </c>
      <c r="J5" s="24" t="s">
        <v>17</v>
      </c>
      <c r="K5" s="24" t="s">
        <v>17</v>
      </c>
      <c r="L5" s="24" t="s">
        <v>17</v>
      </c>
      <c r="M5" s="24" t="s">
        <v>67</v>
      </c>
      <c r="N5" s="24" t="s">
        <v>67</v>
      </c>
      <c r="O5" s="24" t="s">
        <v>17</v>
      </c>
      <c r="P5" s="24" t="s">
        <v>17</v>
      </c>
      <c r="Q5" s="26" t="s">
        <v>65</v>
      </c>
      <c r="R5" s="26" t="s">
        <v>65</v>
      </c>
      <c r="S5" s="26" t="s">
        <v>65</v>
      </c>
      <c r="T5" s="26" t="s">
        <v>10</v>
      </c>
      <c r="U5" s="26" t="s">
        <v>10</v>
      </c>
      <c r="V5" s="31" t="s">
        <v>13</v>
      </c>
      <c r="W5" s="31" t="s">
        <v>13</v>
      </c>
      <c r="X5" s="31" t="s">
        <v>13</v>
      </c>
      <c r="Y5" s="31" t="s">
        <v>13</v>
      </c>
      <c r="Z5" s="31" t="s">
        <v>13</v>
      </c>
      <c r="AA5" s="26" t="s">
        <v>10</v>
      </c>
      <c r="AB5" s="26" t="s">
        <v>10</v>
      </c>
      <c r="AC5" s="31" t="s">
        <v>13</v>
      </c>
      <c r="AD5" s="3" t="s">
        <v>14</v>
      </c>
      <c r="AE5" s="3" t="s">
        <v>14</v>
      </c>
      <c r="AF5" s="3" t="s">
        <v>14</v>
      </c>
      <c r="AG5" s="6" t="s">
        <v>9</v>
      </c>
      <c r="AH5" s="26" t="s">
        <v>10</v>
      </c>
      <c r="AI5" s="26" t="s">
        <v>10</v>
      </c>
      <c r="AJ5" s="3" t="s">
        <v>14</v>
      </c>
      <c r="AK5" s="3" t="s">
        <v>14</v>
      </c>
    </row>
    <row r="6" spans="1:37" ht="15" customHeight="1" x14ac:dyDescent="0.25">
      <c r="A6" s="28">
        <v>4</v>
      </c>
      <c r="B6" s="41" t="s">
        <v>11</v>
      </c>
      <c r="C6" s="26" t="s">
        <v>68</v>
      </c>
      <c r="D6" s="3" t="s">
        <v>59</v>
      </c>
      <c r="E6" s="3" t="s">
        <v>59</v>
      </c>
      <c r="F6" s="3" t="s">
        <v>59</v>
      </c>
      <c r="G6" s="3" t="s">
        <v>70</v>
      </c>
      <c r="H6" s="26" t="s">
        <v>10</v>
      </c>
      <c r="I6" s="26" t="s">
        <v>10</v>
      </c>
      <c r="J6" s="31" t="s">
        <v>13</v>
      </c>
      <c r="K6" s="31" t="s">
        <v>13</v>
      </c>
      <c r="L6" s="31" t="s">
        <v>13</v>
      </c>
      <c r="M6" s="31" t="s">
        <v>13</v>
      </c>
      <c r="N6" s="31" t="s">
        <v>13</v>
      </c>
      <c r="O6" s="26" t="s">
        <v>10</v>
      </c>
      <c r="P6" s="26" t="s">
        <v>10</v>
      </c>
      <c r="Q6" s="3" t="s">
        <v>14</v>
      </c>
      <c r="R6" s="3" t="s">
        <v>14</v>
      </c>
      <c r="S6" s="3" t="s">
        <v>14</v>
      </c>
      <c r="T6" s="3" t="s">
        <v>14</v>
      </c>
      <c r="U6" s="3" t="s">
        <v>14</v>
      </c>
      <c r="V6" s="26" t="s">
        <v>10</v>
      </c>
      <c r="W6" s="26" t="s">
        <v>10</v>
      </c>
      <c r="X6" s="3" t="s">
        <v>14</v>
      </c>
      <c r="Y6" s="3" t="s">
        <v>14</v>
      </c>
      <c r="Z6" s="3" t="s">
        <v>14</v>
      </c>
      <c r="AA6" s="3" t="s">
        <v>14</v>
      </c>
      <c r="AB6" s="3" t="s">
        <v>14</v>
      </c>
      <c r="AC6" s="26" t="s">
        <v>10</v>
      </c>
      <c r="AD6" s="26" t="s">
        <v>10</v>
      </c>
      <c r="AE6" s="3" t="s">
        <v>14</v>
      </c>
      <c r="AF6" s="3" t="s">
        <v>14</v>
      </c>
      <c r="AG6" s="3" t="s">
        <v>14</v>
      </c>
      <c r="AH6" s="3" t="s">
        <v>14</v>
      </c>
      <c r="AI6" s="3" t="s">
        <v>14</v>
      </c>
      <c r="AJ6" s="26" t="s">
        <v>10</v>
      </c>
      <c r="AK6" s="26" t="s">
        <v>10</v>
      </c>
    </row>
    <row r="7" spans="1:37" ht="15" customHeight="1" x14ac:dyDescent="0.25">
      <c r="A7" s="28">
        <v>5</v>
      </c>
      <c r="B7" s="41" t="s">
        <v>16</v>
      </c>
      <c r="C7" s="3" t="s">
        <v>57</v>
      </c>
      <c r="D7" s="3" t="s">
        <v>57</v>
      </c>
      <c r="E7" s="3" t="s">
        <v>57</v>
      </c>
      <c r="F7" s="3" t="s">
        <v>57</v>
      </c>
      <c r="G7" s="26" t="s">
        <v>10</v>
      </c>
      <c r="H7" s="26" t="s">
        <v>10</v>
      </c>
      <c r="I7" s="31" t="s">
        <v>13</v>
      </c>
      <c r="J7" s="31" t="s">
        <v>13</v>
      </c>
      <c r="K7" s="31" t="s">
        <v>13</v>
      </c>
      <c r="L7" s="31" t="s">
        <v>13</v>
      </c>
      <c r="M7" s="31" t="s">
        <v>13</v>
      </c>
      <c r="N7" s="26" t="s">
        <v>10</v>
      </c>
      <c r="O7" s="26" t="s">
        <v>10</v>
      </c>
      <c r="P7" s="31" t="s">
        <v>13</v>
      </c>
      <c r="Q7" s="24" t="s">
        <v>17</v>
      </c>
      <c r="R7" s="24" t="s">
        <v>17</v>
      </c>
      <c r="S7" s="24" t="s">
        <v>17</v>
      </c>
      <c r="T7" s="24" t="s">
        <v>17</v>
      </c>
      <c r="U7" s="26" t="s">
        <v>10</v>
      </c>
      <c r="V7" s="26" t="s">
        <v>10</v>
      </c>
      <c r="W7" s="3" t="s">
        <v>14</v>
      </c>
      <c r="X7" s="3" t="s">
        <v>14</v>
      </c>
      <c r="Y7" s="29" t="s">
        <v>12</v>
      </c>
      <c r="Z7" s="29" t="s">
        <v>12</v>
      </c>
      <c r="AA7" s="29" t="s">
        <v>12</v>
      </c>
    </row>
    <row r="8" spans="1:37" ht="15" customHeight="1" thickBot="1" x14ac:dyDescent="0.3">
      <c r="A8" s="28">
        <v>6</v>
      </c>
      <c r="B8" s="41" t="s">
        <v>20</v>
      </c>
      <c r="C8" s="17" t="s">
        <v>72</v>
      </c>
      <c r="D8" s="17" t="s">
        <v>72</v>
      </c>
      <c r="E8" s="3" t="s">
        <v>63</v>
      </c>
      <c r="F8" s="3" t="s">
        <v>63</v>
      </c>
      <c r="G8" s="3" t="s">
        <v>63</v>
      </c>
      <c r="H8" s="31" t="s">
        <v>13</v>
      </c>
      <c r="I8" s="31" t="s">
        <v>13</v>
      </c>
      <c r="J8" s="26" t="s">
        <v>10</v>
      </c>
      <c r="K8" s="26" t="s">
        <v>10</v>
      </c>
      <c r="L8" s="31" t="s">
        <v>13</v>
      </c>
      <c r="M8" s="31" t="s">
        <v>13</v>
      </c>
      <c r="N8" s="31" t="s">
        <v>13</v>
      </c>
      <c r="O8" s="31" t="s">
        <v>13</v>
      </c>
      <c r="P8" s="30" t="s">
        <v>30</v>
      </c>
      <c r="Q8" s="26" t="s">
        <v>10</v>
      </c>
      <c r="R8" s="26" t="s">
        <v>10</v>
      </c>
      <c r="S8" s="3" t="s">
        <v>14</v>
      </c>
      <c r="T8" s="3" t="s">
        <v>14</v>
      </c>
      <c r="U8" s="3" t="s">
        <v>14</v>
      </c>
      <c r="V8" s="3" t="s">
        <v>14</v>
      </c>
      <c r="W8" s="3" t="s">
        <v>14</v>
      </c>
      <c r="X8" s="26" t="s">
        <v>10</v>
      </c>
      <c r="Y8" s="26" t="s">
        <v>10</v>
      </c>
      <c r="Z8" s="17" t="s">
        <v>42</v>
      </c>
      <c r="AA8" s="3" t="s">
        <v>14</v>
      </c>
      <c r="AB8" s="3" t="s">
        <v>14</v>
      </c>
      <c r="AC8" s="3" t="s">
        <v>14</v>
      </c>
      <c r="AD8" s="3" t="s">
        <v>14</v>
      </c>
      <c r="AE8" s="26" t="s">
        <v>10</v>
      </c>
      <c r="AF8" s="26" t="s">
        <v>10</v>
      </c>
      <c r="AG8" s="3" t="s">
        <v>14</v>
      </c>
      <c r="AH8" s="3" t="s">
        <v>14</v>
      </c>
      <c r="AI8" s="3" t="s">
        <v>14</v>
      </c>
      <c r="AJ8" s="3" t="s">
        <v>14</v>
      </c>
      <c r="AK8" s="3" t="s">
        <v>14</v>
      </c>
    </row>
    <row r="9" spans="1:37" ht="15" customHeight="1" x14ac:dyDescent="0.25">
      <c r="A9" s="28">
        <v>7</v>
      </c>
      <c r="B9" s="41" t="s">
        <v>18</v>
      </c>
      <c r="C9" s="29" t="s">
        <v>61</v>
      </c>
      <c r="D9" s="29" t="s">
        <v>61</v>
      </c>
      <c r="E9" s="29" t="s">
        <v>61</v>
      </c>
      <c r="F9" s="29" t="s">
        <v>61</v>
      </c>
      <c r="G9" s="29" t="s">
        <v>61</v>
      </c>
      <c r="H9" s="29" t="s">
        <v>12</v>
      </c>
      <c r="I9" s="29" t="s">
        <v>66</v>
      </c>
      <c r="J9" s="29" t="s">
        <v>12</v>
      </c>
      <c r="K9" s="29" t="s">
        <v>12</v>
      </c>
      <c r="L9" s="29" t="s">
        <v>12</v>
      </c>
      <c r="M9" s="29" t="s">
        <v>12</v>
      </c>
      <c r="N9" s="29" t="s">
        <v>12</v>
      </c>
      <c r="O9" s="29" t="s">
        <v>12</v>
      </c>
      <c r="P9" s="26" t="s">
        <v>10</v>
      </c>
      <c r="Q9" s="3" t="s">
        <v>14</v>
      </c>
      <c r="R9" s="3" t="s">
        <v>14</v>
      </c>
      <c r="S9" s="3" t="s">
        <v>14</v>
      </c>
      <c r="T9" s="3" t="s">
        <v>14</v>
      </c>
      <c r="U9" s="3" t="s">
        <v>14</v>
      </c>
      <c r="V9" s="3" t="s">
        <v>14</v>
      </c>
      <c r="W9" s="3" t="s">
        <v>64</v>
      </c>
      <c r="X9" s="3" t="s">
        <v>14</v>
      </c>
      <c r="Y9" s="3" t="s">
        <v>14</v>
      </c>
      <c r="Z9" s="3" t="s">
        <v>14</v>
      </c>
      <c r="AA9" s="30" t="s">
        <v>30</v>
      </c>
      <c r="AB9" s="30" t="s">
        <v>30</v>
      </c>
      <c r="AC9" s="30" t="s">
        <v>30</v>
      </c>
      <c r="AD9" s="30" t="s">
        <v>30</v>
      </c>
      <c r="AE9" s="30" t="s">
        <v>30</v>
      </c>
      <c r="AF9" s="30" t="s">
        <v>30</v>
      </c>
      <c r="AG9" s="30" t="s">
        <v>30</v>
      </c>
      <c r="AH9" s="30" t="s">
        <v>30</v>
      </c>
      <c r="AI9" s="30" t="s">
        <v>30</v>
      </c>
      <c r="AJ9" s="30" t="s">
        <v>30</v>
      </c>
      <c r="AK9" s="30" t="s">
        <v>30</v>
      </c>
    </row>
    <row r="10" spans="1:37" x14ac:dyDescent="0.25">
      <c r="A10" s="28">
        <v>8</v>
      </c>
      <c r="B10" s="41" t="s">
        <v>74</v>
      </c>
      <c r="C10" s="40" t="s">
        <v>60</v>
      </c>
      <c r="D10" s="40" t="s">
        <v>60</v>
      </c>
      <c r="E10" s="40" t="s">
        <v>60</v>
      </c>
      <c r="F10" s="40" t="s">
        <v>60</v>
      </c>
      <c r="G10" s="40" t="s">
        <v>60</v>
      </c>
      <c r="H10" s="29" t="s">
        <v>66</v>
      </c>
      <c r="I10" s="29" t="s">
        <v>12</v>
      </c>
      <c r="J10" s="29" t="s">
        <v>12</v>
      </c>
      <c r="K10" s="29" t="s">
        <v>12</v>
      </c>
      <c r="L10" s="29" t="s">
        <v>12</v>
      </c>
      <c r="M10" s="29" t="s">
        <v>12</v>
      </c>
      <c r="N10" s="29" t="s">
        <v>12</v>
      </c>
      <c r="O10" s="26" t="s">
        <v>10</v>
      </c>
      <c r="P10" s="26" t="s">
        <v>65</v>
      </c>
      <c r="Q10" s="3" t="s">
        <v>14</v>
      </c>
      <c r="R10" s="3" t="s">
        <v>14</v>
      </c>
      <c r="S10" s="3" t="s">
        <v>14</v>
      </c>
      <c r="T10" s="3" t="s">
        <v>14</v>
      </c>
      <c r="U10" s="3" t="s">
        <v>14</v>
      </c>
      <c r="V10" s="26" t="s">
        <v>10</v>
      </c>
      <c r="W10" s="3" t="s">
        <v>14</v>
      </c>
      <c r="X10" s="3" t="s">
        <v>14</v>
      </c>
      <c r="Y10" s="3" t="s">
        <v>14</v>
      </c>
      <c r="Z10" s="3" t="s">
        <v>14</v>
      </c>
      <c r="AA10" s="3" t="s">
        <v>14</v>
      </c>
      <c r="AB10" s="3" t="s">
        <v>14</v>
      </c>
      <c r="AC10" s="26" t="s">
        <v>10</v>
      </c>
      <c r="AD10" s="3" t="s">
        <v>14</v>
      </c>
      <c r="AE10" s="3" t="s">
        <v>14</v>
      </c>
      <c r="AF10" s="3" t="s">
        <v>14</v>
      </c>
      <c r="AG10" s="3" t="s">
        <v>14</v>
      </c>
      <c r="AH10" s="3" t="s">
        <v>14</v>
      </c>
      <c r="AI10" s="3" t="s">
        <v>14</v>
      </c>
      <c r="AJ10" s="26" t="s">
        <v>10</v>
      </c>
      <c r="AK10" s="3" t="s">
        <v>14</v>
      </c>
    </row>
    <row r="11" spans="1:37" ht="15" customHeight="1" x14ac:dyDescent="0.25">
      <c r="A11" s="28">
        <v>9</v>
      </c>
      <c r="B11" s="41" t="s">
        <v>53</v>
      </c>
      <c r="C11" s="3" t="s">
        <v>58</v>
      </c>
      <c r="D11" s="29" t="s">
        <v>61</v>
      </c>
      <c r="E11" s="26" t="s">
        <v>10</v>
      </c>
      <c r="F11" s="26" t="s">
        <v>10</v>
      </c>
      <c r="G11" s="31" t="s">
        <v>13</v>
      </c>
      <c r="H11" s="31" t="s">
        <v>13</v>
      </c>
      <c r="I11" s="31" t="s">
        <v>13</v>
      </c>
      <c r="J11" s="31" t="s">
        <v>13</v>
      </c>
      <c r="K11" s="31" t="s">
        <v>13</v>
      </c>
      <c r="L11" s="26" t="s">
        <v>10</v>
      </c>
      <c r="M11" s="26" t="s">
        <v>10</v>
      </c>
      <c r="N11" s="31" t="s">
        <v>13</v>
      </c>
      <c r="O11" s="29" t="s">
        <v>12</v>
      </c>
      <c r="P11" s="29" t="s">
        <v>12</v>
      </c>
      <c r="Q11" s="29" t="s">
        <v>12</v>
      </c>
      <c r="R11" s="29" t="s">
        <v>12</v>
      </c>
      <c r="S11" s="29" t="s">
        <v>66</v>
      </c>
      <c r="T11" s="26" t="s">
        <v>10</v>
      </c>
      <c r="U11" s="26" t="s">
        <v>68</v>
      </c>
      <c r="V11" s="3" t="s">
        <v>14</v>
      </c>
      <c r="W11" s="3" t="s">
        <v>14</v>
      </c>
      <c r="X11" s="3" t="s">
        <v>14</v>
      </c>
      <c r="Y11" s="29" t="s">
        <v>12</v>
      </c>
      <c r="Z11" s="29" t="s">
        <v>66</v>
      </c>
      <c r="AA11" s="26" t="s">
        <v>10</v>
      </c>
      <c r="AB11" s="26" t="s">
        <v>68</v>
      </c>
      <c r="AC11" s="3" t="s">
        <v>14</v>
      </c>
      <c r="AD11" s="3" t="s">
        <v>14</v>
      </c>
      <c r="AE11" s="3" t="s">
        <v>14</v>
      </c>
      <c r="AF11" s="3" t="s">
        <v>14</v>
      </c>
      <c r="AG11" s="26" t="s">
        <v>10</v>
      </c>
      <c r="AH11" s="26" t="s">
        <v>10</v>
      </c>
      <c r="AI11" s="29" t="s">
        <v>12</v>
      </c>
      <c r="AJ11" s="24" t="s">
        <v>17</v>
      </c>
      <c r="AK11" s="24" t="s">
        <v>17</v>
      </c>
    </row>
    <row r="12" spans="1:37" ht="15" customHeight="1" thickBot="1" x14ac:dyDescent="0.3">
      <c r="A12" s="28">
        <v>10</v>
      </c>
      <c r="B12" s="41" t="s">
        <v>55</v>
      </c>
      <c r="C12" s="29" t="s">
        <v>60</v>
      </c>
      <c r="D12" s="26" t="s">
        <v>10</v>
      </c>
      <c r="E12" s="26" t="s">
        <v>10</v>
      </c>
      <c r="F12" s="29" t="s">
        <v>60</v>
      </c>
      <c r="G12" s="29" t="s">
        <v>60</v>
      </c>
      <c r="H12" s="31" t="s">
        <v>13</v>
      </c>
      <c r="I12" s="31" t="s">
        <v>13</v>
      </c>
      <c r="J12" s="31" t="s">
        <v>13</v>
      </c>
      <c r="K12" s="26" t="s">
        <v>10</v>
      </c>
      <c r="L12" s="26" t="s">
        <v>10</v>
      </c>
      <c r="M12" s="31" t="s">
        <v>13</v>
      </c>
      <c r="N12" s="31" t="s">
        <v>13</v>
      </c>
      <c r="O12" s="3" t="s">
        <v>14</v>
      </c>
      <c r="P12" s="3" t="s">
        <v>14</v>
      </c>
      <c r="Q12" s="3" t="s">
        <v>14</v>
      </c>
      <c r="R12" s="26" t="s">
        <v>10</v>
      </c>
      <c r="S12" s="26" t="s">
        <v>10</v>
      </c>
      <c r="T12" s="29" t="s">
        <v>12</v>
      </c>
      <c r="U12" s="29" t="s">
        <v>12</v>
      </c>
      <c r="V12" s="29" t="s">
        <v>12</v>
      </c>
      <c r="W12" s="29" t="s">
        <v>12</v>
      </c>
      <c r="X12" s="29" t="s">
        <v>12</v>
      </c>
      <c r="Y12" s="26" t="s">
        <v>10</v>
      </c>
      <c r="Z12" s="26" t="s">
        <v>10</v>
      </c>
      <c r="AA12" s="24" t="s">
        <v>17</v>
      </c>
      <c r="AB12" s="24" t="s">
        <v>17</v>
      </c>
      <c r="AC12" s="24" t="s">
        <v>17</v>
      </c>
      <c r="AD12" s="24" t="s">
        <v>17</v>
      </c>
      <c r="AE12" s="24" t="s">
        <v>17</v>
      </c>
      <c r="AF12" s="26" t="s">
        <v>10</v>
      </c>
      <c r="AG12" s="26" t="s">
        <v>10</v>
      </c>
      <c r="AH12" s="3" t="s">
        <v>14</v>
      </c>
      <c r="AI12" s="3" t="s">
        <v>14</v>
      </c>
      <c r="AJ12" s="3" t="s">
        <v>14</v>
      </c>
      <c r="AK12" s="3" t="s">
        <v>14</v>
      </c>
    </row>
    <row r="13" spans="1:37" ht="15" customHeight="1" thickBot="1" x14ac:dyDescent="0.3">
      <c r="A13" s="28">
        <v>11</v>
      </c>
      <c r="B13" s="41" t="s">
        <v>23</v>
      </c>
      <c r="C13" s="26" t="s">
        <v>10</v>
      </c>
      <c r="D13" s="29" t="s">
        <v>61</v>
      </c>
      <c r="E13" s="29" t="s">
        <v>61</v>
      </c>
      <c r="F13" s="29" t="s">
        <v>61</v>
      </c>
      <c r="G13" s="29" t="s">
        <v>61</v>
      </c>
      <c r="H13" s="26" t="s">
        <v>10</v>
      </c>
      <c r="I13" s="26" t="s">
        <v>10</v>
      </c>
      <c r="J13" s="31" t="s">
        <v>13</v>
      </c>
      <c r="K13" s="31" t="s">
        <v>13</v>
      </c>
      <c r="L13" s="31" t="s">
        <v>13</v>
      </c>
      <c r="M13" s="31" t="s">
        <v>13</v>
      </c>
      <c r="N13" s="31" t="s">
        <v>13</v>
      </c>
      <c r="O13" s="31" t="s">
        <v>13</v>
      </c>
      <c r="P13" s="30" t="s">
        <v>30</v>
      </c>
      <c r="Q13" s="30" t="s">
        <v>30</v>
      </c>
      <c r="R13" s="30" t="s">
        <v>30</v>
      </c>
      <c r="S13" s="30" t="s">
        <v>30</v>
      </c>
      <c r="T13" s="30" t="s">
        <v>30</v>
      </c>
      <c r="U13" s="30" t="s">
        <v>30</v>
      </c>
      <c r="V13" s="30" t="s">
        <v>30</v>
      </c>
      <c r="W13" s="30" t="s">
        <v>30</v>
      </c>
      <c r="X13" s="30" t="s">
        <v>30</v>
      </c>
      <c r="Y13" s="3" t="s">
        <v>14</v>
      </c>
      <c r="Z13" s="3" t="s">
        <v>14</v>
      </c>
      <c r="AA13" s="3" t="s">
        <v>14</v>
      </c>
      <c r="AB13" s="29" t="s">
        <v>12</v>
      </c>
      <c r="AC13" s="26" t="s">
        <v>10</v>
      </c>
      <c r="AD13" s="26" t="s">
        <v>10</v>
      </c>
      <c r="AE13" s="6" t="s">
        <v>9</v>
      </c>
      <c r="AF13" s="24" t="s">
        <v>17</v>
      </c>
      <c r="AG13" s="24" t="s">
        <v>17</v>
      </c>
      <c r="AH13" s="24" t="s">
        <v>17</v>
      </c>
      <c r="AI13" s="24" t="s">
        <v>17</v>
      </c>
      <c r="AJ13" s="26" t="s">
        <v>10</v>
      </c>
      <c r="AK13" s="26" t="s">
        <v>10</v>
      </c>
    </row>
    <row r="14" spans="1:37" ht="15" customHeight="1" x14ac:dyDescent="0.25">
      <c r="A14" s="28">
        <v>12</v>
      </c>
      <c r="B14" s="41" t="s">
        <v>54</v>
      </c>
      <c r="C14" s="29" t="s">
        <v>60</v>
      </c>
      <c r="D14" s="29" t="s">
        <v>60</v>
      </c>
      <c r="E14" s="29" t="s">
        <v>71</v>
      </c>
      <c r="F14" s="29" t="s">
        <v>71</v>
      </c>
      <c r="G14" s="26" t="s">
        <v>68</v>
      </c>
      <c r="H14" s="26" t="s">
        <v>68</v>
      </c>
      <c r="I14" s="31" t="s">
        <v>13</v>
      </c>
      <c r="J14" s="31" t="s">
        <v>13</v>
      </c>
      <c r="K14" s="31" t="s">
        <v>13</v>
      </c>
      <c r="L14" s="26" t="s">
        <v>10</v>
      </c>
      <c r="M14" s="26" t="s">
        <v>10</v>
      </c>
      <c r="N14" s="31" t="s">
        <v>13</v>
      </c>
      <c r="O14" s="31" t="s">
        <v>13</v>
      </c>
      <c r="P14" s="29" t="s">
        <v>12</v>
      </c>
      <c r="Q14" s="29" t="s">
        <v>12</v>
      </c>
      <c r="R14" s="29" t="s">
        <v>12</v>
      </c>
      <c r="S14" s="26" t="s">
        <v>10</v>
      </c>
      <c r="T14" s="26" t="s">
        <v>10</v>
      </c>
      <c r="U14" s="24" t="s">
        <v>17</v>
      </c>
      <c r="V14" s="24" t="s">
        <v>17</v>
      </c>
      <c r="W14" s="24" t="s">
        <v>17</v>
      </c>
      <c r="X14" s="24" t="s">
        <v>17</v>
      </c>
      <c r="Y14" s="24" t="s">
        <v>17</v>
      </c>
      <c r="Z14" s="24" t="s">
        <v>67</v>
      </c>
      <c r="AA14" s="26" t="s">
        <v>10</v>
      </c>
      <c r="AB14" s="26" t="s">
        <v>68</v>
      </c>
      <c r="AC14" s="29" t="s">
        <v>12</v>
      </c>
      <c r="AD14" s="29" t="s">
        <v>12</v>
      </c>
      <c r="AE14" s="29" t="s">
        <v>12</v>
      </c>
      <c r="AF14" s="29" t="s">
        <v>12</v>
      </c>
      <c r="AG14" s="26" t="s">
        <v>10</v>
      </c>
      <c r="AH14" s="26" t="s">
        <v>10</v>
      </c>
      <c r="AI14" s="29" t="s">
        <v>12</v>
      </c>
      <c r="AJ14" s="29" t="s">
        <v>12</v>
      </c>
      <c r="AK14" s="29" t="s">
        <v>12</v>
      </c>
    </row>
    <row r="15" spans="1:37" ht="15" customHeight="1" thickBot="1" x14ac:dyDescent="0.3">
      <c r="A15" s="28">
        <v>13</v>
      </c>
      <c r="B15" s="41" t="s">
        <v>78</v>
      </c>
      <c r="C15" s="26" t="s">
        <v>10</v>
      </c>
      <c r="D15" s="26" t="s">
        <v>10</v>
      </c>
      <c r="E15" s="29" t="s">
        <v>60</v>
      </c>
      <c r="F15" s="29" t="s">
        <v>60</v>
      </c>
      <c r="G15" s="26" t="s">
        <v>10</v>
      </c>
      <c r="H15" s="3" t="s">
        <v>64</v>
      </c>
      <c r="I15" s="3" t="s">
        <v>14</v>
      </c>
      <c r="J15" s="3" t="s">
        <v>14</v>
      </c>
      <c r="K15" s="3" t="s">
        <v>14</v>
      </c>
      <c r="L15" s="3" t="s">
        <v>14</v>
      </c>
      <c r="M15" s="3" t="s">
        <v>14</v>
      </c>
      <c r="N15" s="3" t="s">
        <v>64</v>
      </c>
      <c r="O15" s="3" t="s">
        <v>64</v>
      </c>
      <c r="P15" s="26" t="s">
        <v>65</v>
      </c>
      <c r="Q15" s="26" t="s">
        <v>65</v>
      </c>
      <c r="R15" s="26" t="s">
        <v>65</v>
      </c>
      <c r="S15" s="29" t="s">
        <v>12</v>
      </c>
      <c r="T15" s="29" t="s">
        <v>12</v>
      </c>
      <c r="U15" s="26" t="s">
        <v>10</v>
      </c>
      <c r="V15" s="26" t="s">
        <v>10</v>
      </c>
      <c r="W15" s="3" t="s">
        <v>14</v>
      </c>
      <c r="X15" s="3" t="s">
        <v>14</v>
      </c>
      <c r="Y15" s="17" t="s">
        <v>42</v>
      </c>
      <c r="Z15" s="3" t="s">
        <v>14</v>
      </c>
      <c r="AA15" s="3" t="s">
        <v>14</v>
      </c>
      <c r="AB15" s="26" t="s">
        <v>10</v>
      </c>
      <c r="AC15" s="26" t="s">
        <v>10</v>
      </c>
      <c r="AD15" s="31" t="s">
        <v>13</v>
      </c>
      <c r="AE15" s="31" t="s">
        <v>13</v>
      </c>
      <c r="AF15" s="31" t="s">
        <v>13</v>
      </c>
      <c r="AG15" s="31" t="s">
        <v>13</v>
      </c>
      <c r="AH15" s="31" t="s">
        <v>13</v>
      </c>
      <c r="AI15" s="26" t="s">
        <v>10</v>
      </c>
      <c r="AJ15" s="26" t="s">
        <v>10</v>
      </c>
      <c r="AK15" s="31" t="s">
        <v>13</v>
      </c>
    </row>
    <row r="16" spans="1:37" ht="15" customHeight="1" x14ac:dyDescent="0.25">
      <c r="A16" s="28">
        <v>14</v>
      </c>
      <c r="B16" s="41" t="s">
        <v>15</v>
      </c>
      <c r="C16" s="24" t="s">
        <v>62</v>
      </c>
      <c r="D16" s="26" t="s">
        <v>10</v>
      </c>
      <c r="E16" s="26" t="s">
        <v>10</v>
      </c>
      <c r="F16" s="24" t="s">
        <v>62</v>
      </c>
      <c r="G16" s="24" t="s">
        <v>62</v>
      </c>
      <c r="H16" s="31" t="s">
        <v>13</v>
      </c>
      <c r="I16" s="31" t="s">
        <v>13</v>
      </c>
      <c r="J16" s="31" t="s">
        <v>13</v>
      </c>
      <c r="K16" s="26" t="s">
        <v>10</v>
      </c>
      <c r="L16" s="26" t="s">
        <v>10</v>
      </c>
      <c r="M16" s="31" t="s">
        <v>13</v>
      </c>
      <c r="N16" s="31" t="s">
        <v>13</v>
      </c>
      <c r="O16" s="31" t="s">
        <v>13</v>
      </c>
      <c r="P16" s="3" t="s">
        <v>14</v>
      </c>
      <c r="Q16" s="3" t="s">
        <v>14</v>
      </c>
      <c r="R16" s="26" t="s">
        <v>10</v>
      </c>
      <c r="S16" s="26" t="s">
        <v>10</v>
      </c>
      <c r="T16" s="29" t="s">
        <v>12</v>
      </c>
      <c r="U16" s="29" t="s">
        <v>12</v>
      </c>
      <c r="V16" s="29" t="s">
        <v>12</v>
      </c>
      <c r="W16" s="29" t="s">
        <v>12</v>
      </c>
      <c r="X16" s="29" t="s">
        <v>12</v>
      </c>
      <c r="Y16" s="26" t="s">
        <v>10</v>
      </c>
      <c r="Z16" s="26" t="s">
        <v>10</v>
      </c>
      <c r="AA16" s="29" t="s">
        <v>12</v>
      </c>
      <c r="AB16" s="29" t="s">
        <v>12</v>
      </c>
      <c r="AC16" s="29" t="s">
        <v>12</v>
      </c>
      <c r="AD16" s="29" t="s">
        <v>12</v>
      </c>
      <c r="AE16" s="29" t="s">
        <v>12</v>
      </c>
      <c r="AF16" s="26" t="s">
        <v>10</v>
      </c>
      <c r="AG16" s="26" t="s">
        <v>10</v>
      </c>
      <c r="AH16" s="29" t="s">
        <v>12</v>
      </c>
      <c r="AI16" s="29" t="s">
        <v>12</v>
      </c>
      <c r="AJ16" s="29" t="s">
        <v>12</v>
      </c>
      <c r="AK16" s="29" t="s">
        <v>12</v>
      </c>
    </row>
    <row r="17" spans="1:37" ht="15" customHeight="1" x14ac:dyDescent="0.25">
      <c r="A17" s="28">
        <v>15</v>
      </c>
      <c r="B17" s="41" t="s">
        <v>22</v>
      </c>
      <c r="C17" s="29" t="s">
        <v>60</v>
      </c>
      <c r="D17" s="31" t="s">
        <v>13</v>
      </c>
      <c r="E17" s="29" t="s">
        <v>60</v>
      </c>
      <c r="F17" s="26" t="s">
        <v>10</v>
      </c>
      <c r="G17" s="26" t="s">
        <v>10</v>
      </c>
      <c r="H17" s="31" t="s">
        <v>13</v>
      </c>
      <c r="I17" s="31" t="s">
        <v>13</v>
      </c>
      <c r="J17" s="31" t="s">
        <v>13</v>
      </c>
      <c r="K17" s="31" t="s">
        <v>13</v>
      </c>
      <c r="L17" s="30" t="s">
        <v>30</v>
      </c>
      <c r="M17" s="30" t="s">
        <v>30</v>
      </c>
      <c r="N17" s="30" t="s">
        <v>30</v>
      </c>
      <c r="O17" s="30" t="s">
        <v>30</v>
      </c>
      <c r="P17" s="30" t="s">
        <v>30</v>
      </c>
      <c r="Q17" s="30" t="s">
        <v>30</v>
      </c>
      <c r="R17" s="30" t="s">
        <v>30</v>
      </c>
      <c r="S17" s="30" t="s">
        <v>30</v>
      </c>
      <c r="T17" s="30" t="s">
        <v>30</v>
      </c>
      <c r="U17" s="30" t="s">
        <v>30</v>
      </c>
      <c r="V17" s="30" t="s">
        <v>30</v>
      </c>
      <c r="W17" s="30" t="s">
        <v>30</v>
      </c>
      <c r="X17" s="30" t="s">
        <v>30</v>
      </c>
      <c r="Y17" s="30" t="s">
        <v>30</v>
      </c>
      <c r="Z17" s="30" t="s">
        <v>30</v>
      </c>
      <c r="AA17" s="30" t="s">
        <v>30</v>
      </c>
      <c r="AB17" s="30" t="s">
        <v>30</v>
      </c>
      <c r="AC17" s="30" t="s">
        <v>30</v>
      </c>
      <c r="AD17" s="30" t="s">
        <v>30</v>
      </c>
      <c r="AE17" s="30" t="s">
        <v>30</v>
      </c>
      <c r="AF17" s="30" t="s">
        <v>30</v>
      </c>
      <c r="AG17" s="30" t="s">
        <v>30</v>
      </c>
      <c r="AH17" s="30" t="s">
        <v>30</v>
      </c>
      <c r="AI17" s="30" t="s">
        <v>30</v>
      </c>
      <c r="AJ17" s="30" t="s">
        <v>30</v>
      </c>
      <c r="AK17" s="30" t="s">
        <v>30</v>
      </c>
    </row>
    <row r="18" spans="1:37" ht="15" customHeight="1" x14ac:dyDescent="0.25">
      <c r="A18" s="28">
        <v>16</v>
      </c>
      <c r="B18" s="41" t="s">
        <v>19</v>
      </c>
      <c r="C18" s="29" t="s">
        <v>61</v>
      </c>
      <c r="D18" s="15" t="s">
        <v>37</v>
      </c>
      <c r="E18" s="15" t="s">
        <v>37</v>
      </c>
      <c r="F18" s="30" t="s">
        <v>30</v>
      </c>
      <c r="G18" s="30" t="s">
        <v>30</v>
      </c>
      <c r="H18" s="30" t="s">
        <v>30</v>
      </c>
      <c r="I18" s="30" t="s">
        <v>30</v>
      </c>
      <c r="J18" s="30" t="s">
        <v>30</v>
      </c>
      <c r="K18" s="30" t="s">
        <v>30</v>
      </c>
      <c r="L18" s="30" t="s">
        <v>30</v>
      </c>
      <c r="M18" s="30" t="s">
        <v>30</v>
      </c>
      <c r="N18" s="30" t="s">
        <v>30</v>
      </c>
      <c r="O18" s="30" t="s">
        <v>30</v>
      </c>
      <c r="P18" s="30" t="s">
        <v>30</v>
      </c>
      <c r="Q18" s="30" t="s">
        <v>30</v>
      </c>
      <c r="R18" s="30" t="s">
        <v>30</v>
      </c>
      <c r="S18" s="30" t="s">
        <v>30</v>
      </c>
      <c r="T18" s="30" t="s">
        <v>30</v>
      </c>
      <c r="U18" s="30" t="s">
        <v>30</v>
      </c>
      <c r="V18" s="30" t="s">
        <v>30</v>
      </c>
      <c r="W18" s="30" t="s">
        <v>30</v>
      </c>
      <c r="X18" s="30" t="s">
        <v>30</v>
      </c>
      <c r="Y18" s="30" t="s">
        <v>30</v>
      </c>
      <c r="Z18" s="30" t="s">
        <v>30</v>
      </c>
      <c r="AA18" s="3" t="s">
        <v>14</v>
      </c>
      <c r="AB18" s="3" t="s">
        <v>14</v>
      </c>
      <c r="AC18" s="3" t="s">
        <v>14</v>
      </c>
      <c r="AD18" s="26" t="s">
        <v>10</v>
      </c>
      <c r="AE18" s="3" t="s">
        <v>14</v>
      </c>
      <c r="AF18" s="3" t="s">
        <v>14</v>
      </c>
      <c r="AG18" s="3" t="s">
        <v>14</v>
      </c>
      <c r="AH18" s="3" t="s">
        <v>14</v>
      </c>
      <c r="AI18" s="3" t="s">
        <v>14</v>
      </c>
      <c r="AJ18" s="3" t="s">
        <v>14</v>
      </c>
      <c r="AK18" s="26" t="s">
        <v>10</v>
      </c>
    </row>
    <row r="19" spans="1:37" x14ac:dyDescent="0.25">
      <c r="A19" s="48"/>
      <c r="B19" s="50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 ht="15.75" hidden="1" thickBot="1" x14ac:dyDescent="0.3">
      <c r="A20" s="32"/>
      <c r="B20" s="33" t="s">
        <v>14</v>
      </c>
      <c r="C20" s="3">
        <f t="shared" ref="C20:H20" si="0">COUNTIF(C4:C19,"M")</f>
        <v>0</v>
      </c>
      <c r="D20" s="3">
        <f t="shared" si="0"/>
        <v>0</v>
      </c>
      <c r="E20" s="3">
        <f t="shared" si="0"/>
        <v>0</v>
      </c>
      <c r="F20" s="3">
        <f t="shared" si="0"/>
        <v>0</v>
      </c>
      <c r="G20" s="3">
        <f t="shared" si="0"/>
        <v>0</v>
      </c>
      <c r="H20" s="3">
        <f t="shared" si="0"/>
        <v>0</v>
      </c>
      <c r="I20" s="3">
        <v>3</v>
      </c>
      <c r="J20" s="3">
        <f>COUNTIF(J4:J19,"M")</f>
        <v>1</v>
      </c>
      <c r="K20" s="3">
        <f>COUNTIF(K4:K19,"M")</f>
        <v>1</v>
      </c>
      <c r="L20" s="3">
        <v>3</v>
      </c>
      <c r="M20" s="3">
        <v>3</v>
      </c>
      <c r="N20" s="3">
        <v>3</v>
      </c>
      <c r="O20" s="3">
        <f>COUNTIF(O4:O19,"M")</f>
        <v>1</v>
      </c>
      <c r="P20" s="3">
        <v>3</v>
      </c>
      <c r="Q20" s="3">
        <f t="shared" ref="Q20:V20" si="1">COUNTIF(Q4:Q19,"M")</f>
        <v>6</v>
      </c>
      <c r="R20" s="3">
        <f t="shared" si="1"/>
        <v>4</v>
      </c>
      <c r="S20" s="3">
        <f t="shared" si="1"/>
        <v>5</v>
      </c>
      <c r="T20" s="3">
        <f t="shared" si="1"/>
        <v>5</v>
      </c>
      <c r="U20" s="3">
        <f t="shared" si="1"/>
        <v>5</v>
      </c>
      <c r="V20" s="3">
        <f t="shared" si="1"/>
        <v>3</v>
      </c>
      <c r="W20" s="3">
        <v>3</v>
      </c>
      <c r="X20" s="3">
        <f t="shared" ref="X20:AK20" si="2">COUNTIF(X4:X19,"M")</f>
        <v>7</v>
      </c>
      <c r="Y20" s="3">
        <f t="shared" si="2"/>
        <v>5</v>
      </c>
      <c r="Z20" s="3">
        <f t="shared" si="2"/>
        <v>6</v>
      </c>
      <c r="AA20" s="3">
        <f t="shared" si="2"/>
        <v>7</v>
      </c>
      <c r="AB20" s="3">
        <f t="shared" si="2"/>
        <v>5</v>
      </c>
      <c r="AC20" s="3">
        <f t="shared" si="2"/>
        <v>3</v>
      </c>
      <c r="AD20" s="3">
        <f t="shared" si="2"/>
        <v>4</v>
      </c>
      <c r="AE20" s="3">
        <f t="shared" si="2"/>
        <v>6</v>
      </c>
      <c r="AF20" s="3">
        <f t="shared" si="2"/>
        <v>6</v>
      </c>
      <c r="AG20" s="3">
        <f t="shared" si="2"/>
        <v>5</v>
      </c>
      <c r="AH20" s="3">
        <f t="shared" si="2"/>
        <v>6</v>
      </c>
      <c r="AI20" s="3">
        <f t="shared" si="2"/>
        <v>6</v>
      </c>
      <c r="AJ20" s="3">
        <f t="shared" si="2"/>
        <v>4</v>
      </c>
      <c r="AK20" s="3">
        <f t="shared" si="2"/>
        <v>4</v>
      </c>
    </row>
    <row r="21" spans="1:37" hidden="1" x14ac:dyDescent="0.25">
      <c r="A21" s="32"/>
      <c r="B21" s="34" t="s">
        <v>9</v>
      </c>
      <c r="C21" s="34">
        <f t="shared" ref="C21:AK21" si="3">COUNTIF(C5:C19,"B")</f>
        <v>0</v>
      </c>
      <c r="D21" s="34">
        <f t="shared" si="3"/>
        <v>0</v>
      </c>
      <c r="E21" s="34">
        <f t="shared" si="3"/>
        <v>0</v>
      </c>
      <c r="F21" s="34">
        <f t="shared" si="3"/>
        <v>0</v>
      </c>
      <c r="G21" s="34">
        <f t="shared" si="3"/>
        <v>0</v>
      </c>
      <c r="H21" s="34">
        <f t="shared" si="3"/>
        <v>0</v>
      </c>
      <c r="I21" s="34">
        <f t="shared" si="3"/>
        <v>0</v>
      </c>
      <c r="J21" s="34">
        <f t="shared" si="3"/>
        <v>0</v>
      </c>
      <c r="K21" s="34">
        <f t="shared" si="3"/>
        <v>0</v>
      </c>
      <c r="L21" s="34">
        <f t="shared" si="3"/>
        <v>0</v>
      </c>
      <c r="M21" s="34">
        <f t="shared" si="3"/>
        <v>0</v>
      </c>
      <c r="N21" s="34">
        <f t="shared" si="3"/>
        <v>0</v>
      </c>
      <c r="O21" s="34">
        <f t="shared" si="3"/>
        <v>0</v>
      </c>
      <c r="P21" s="34">
        <f t="shared" si="3"/>
        <v>0</v>
      </c>
      <c r="Q21" s="34">
        <f t="shared" si="3"/>
        <v>0</v>
      </c>
      <c r="R21" s="34">
        <f t="shared" si="3"/>
        <v>0</v>
      </c>
      <c r="S21" s="34">
        <f t="shared" si="3"/>
        <v>0</v>
      </c>
      <c r="T21" s="34">
        <f t="shared" si="3"/>
        <v>0</v>
      </c>
      <c r="U21" s="34">
        <f t="shared" si="3"/>
        <v>0</v>
      </c>
      <c r="V21" s="34">
        <f t="shared" si="3"/>
        <v>0</v>
      </c>
      <c r="W21" s="34">
        <f t="shared" si="3"/>
        <v>0</v>
      </c>
      <c r="X21" s="34">
        <f t="shared" si="3"/>
        <v>0</v>
      </c>
      <c r="Y21" s="34">
        <f t="shared" si="3"/>
        <v>0</v>
      </c>
      <c r="Z21" s="34">
        <f t="shared" si="3"/>
        <v>0</v>
      </c>
      <c r="AA21" s="34">
        <f t="shared" si="3"/>
        <v>0</v>
      </c>
      <c r="AB21" s="34">
        <f t="shared" si="3"/>
        <v>0</v>
      </c>
      <c r="AC21" s="34">
        <f t="shared" si="3"/>
        <v>0</v>
      </c>
      <c r="AD21" s="34">
        <f t="shared" si="3"/>
        <v>0</v>
      </c>
      <c r="AE21" s="34">
        <f t="shared" si="3"/>
        <v>1</v>
      </c>
      <c r="AF21" s="34">
        <f t="shared" si="3"/>
        <v>0</v>
      </c>
      <c r="AG21" s="34">
        <f t="shared" si="3"/>
        <v>1</v>
      </c>
      <c r="AH21" s="34">
        <f t="shared" si="3"/>
        <v>0</v>
      </c>
      <c r="AI21" s="34">
        <f t="shared" si="3"/>
        <v>0</v>
      </c>
      <c r="AJ21" s="34">
        <f t="shared" si="3"/>
        <v>0</v>
      </c>
      <c r="AK21" s="34">
        <f t="shared" si="3"/>
        <v>0</v>
      </c>
    </row>
    <row r="22" spans="1:37" ht="12" hidden="1" customHeight="1" x14ac:dyDescent="0.25">
      <c r="A22" s="35"/>
      <c r="B22" s="36" t="s">
        <v>12</v>
      </c>
      <c r="C22" s="29">
        <f t="shared" ref="C22:J22" si="4">COUNTIF(C4:C19,"E")</f>
        <v>0</v>
      </c>
      <c r="D22" s="29">
        <f t="shared" si="4"/>
        <v>0</v>
      </c>
      <c r="E22" s="29">
        <f t="shared" si="4"/>
        <v>0</v>
      </c>
      <c r="F22" s="29">
        <f t="shared" si="4"/>
        <v>0</v>
      </c>
      <c r="G22" s="29">
        <f t="shared" si="4"/>
        <v>0</v>
      </c>
      <c r="H22" s="29">
        <f t="shared" si="4"/>
        <v>1</v>
      </c>
      <c r="I22" s="29">
        <f t="shared" si="4"/>
        <v>1</v>
      </c>
      <c r="J22" s="29">
        <f t="shared" si="4"/>
        <v>2</v>
      </c>
      <c r="K22" s="29">
        <v>1</v>
      </c>
      <c r="L22" s="29">
        <v>1</v>
      </c>
      <c r="M22" s="29">
        <f t="shared" ref="M22:AK22" si="5">COUNTIF(M4:M19,"E")</f>
        <v>2</v>
      </c>
      <c r="N22" s="29">
        <f t="shared" si="5"/>
        <v>2</v>
      </c>
      <c r="O22" s="29">
        <f t="shared" si="5"/>
        <v>2</v>
      </c>
      <c r="P22" s="29">
        <f t="shared" si="5"/>
        <v>2</v>
      </c>
      <c r="Q22" s="29">
        <f t="shared" si="5"/>
        <v>2</v>
      </c>
      <c r="R22" s="29">
        <f t="shared" si="5"/>
        <v>2</v>
      </c>
      <c r="S22" s="29">
        <f t="shared" si="5"/>
        <v>1</v>
      </c>
      <c r="T22" s="29">
        <f t="shared" si="5"/>
        <v>3</v>
      </c>
      <c r="U22" s="29">
        <f t="shared" si="5"/>
        <v>2</v>
      </c>
      <c r="V22" s="29">
        <f t="shared" si="5"/>
        <v>2</v>
      </c>
      <c r="W22" s="29">
        <f t="shared" si="5"/>
        <v>2</v>
      </c>
      <c r="X22" s="29">
        <f t="shared" si="5"/>
        <v>2</v>
      </c>
      <c r="Y22" s="29">
        <f t="shared" si="5"/>
        <v>2</v>
      </c>
      <c r="Z22" s="29">
        <f t="shared" si="5"/>
        <v>1</v>
      </c>
      <c r="AA22" s="29">
        <f t="shared" si="5"/>
        <v>2</v>
      </c>
      <c r="AB22" s="29">
        <f t="shared" si="5"/>
        <v>2</v>
      </c>
      <c r="AC22" s="29">
        <f t="shared" si="5"/>
        <v>2</v>
      </c>
      <c r="AD22" s="29">
        <f t="shared" si="5"/>
        <v>2</v>
      </c>
      <c r="AE22" s="29">
        <f t="shared" si="5"/>
        <v>2</v>
      </c>
      <c r="AF22" s="29">
        <f t="shared" si="5"/>
        <v>1</v>
      </c>
      <c r="AG22" s="29">
        <f t="shared" si="5"/>
        <v>0</v>
      </c>
      <c r="AH22" s="29">
        <f t="shared" si="5"/>
        <v>1</v>
      </c>
      <c r="AI22" s="29">
        <f t="shared" si="5"/>
        <v>3</v>
      </c>
      <c r="AJ22" s="29">
        <f t="shared" si="5"/>
        <v>2</v>
      </c>
      <c r="AK22" s="29">
        <f t="shared" si="5"/>
        <v>2</v>
      </c>
    </row>
    <row r="23" spans="1:37" hidden="1" x14ac:dyDescent="0.25">
      <c r="A23" s="7"/>
      <c r="B23" s="37" t="s">
        <v>17</v>
      </c>
      <c r="C23" s="38">
        <f>COUNTIF(C4:C19,"N")</f>
        <v>0</v>
      </c>
      <c r="D23" s="38">
        <f>COUNTIF(D4:D19,"N")</f>
        <v>0</v>
      </c>
      <c r="E23" s="38">
        <f>COUNTIF(E4:E19,"N")</f>
        <v>0</v>
      </c>
      <c r="F23" s="38">
        <f>COUNTIF(F4:F19,"N")</f>
        <v>0</v>
      </c>
      <c r="G23" s="38">
        <f t="shared" ref="G23:AK23" si="6">COUNTIF(G4:G19,"N")</f>
        <v>0</v>
      </c>
      <c r="H23" s="38">
        <f t="shared" si="6"/>
        <v>1</v>
      </c>
      <c r="I23" s="38">
        <f t="shared" si="6"/>
        <v>1</v>
      </c>
      <c r="J23" s="38">
        <f t="shared" si="6"/>
        <v>1</v>
      </c>
      <c r="K23" s="38">
        <v>1</v>
      </c>
      <c r="L23" s="38">
        <f t="shared" si="6"/>
        <v>1</v>
      </c>
      <c r="M23" s="38">
        <f t="shared" si="6"/>
        <v>0</v>
      </c>
      <c r="N23" s="38">
        <f t="shared" si="6"/>
        <v>0</v>
      </c>
      <c r="O23" s="38">
        <f t="shared" si="6"/>
        <v>1</v>
      </c>
      <c r="P23" s="38">
        <f t="shared" si="6"/>
        <v>1</v>
      </c>
      <c r="Q23" s="38">
        <f t="shared" si="6"/>
        <v>1</v>
      </c>
      <c r="R23" s="38">
        <f t="shared" si="6"/>
        <v>1</v>
      </c>
      <c r="S23" s="38">
        <f t="shared" si="6"/>
        <v>1</v>
      </c>
      <c r="T23" s="38">
        <f t="shared" si="6"/>
        <v>1</v>
      </c>
      <c r="U23" s="38">
        <f t="shared" si="6"/>
        <v>1</v>
      </c>
      <c r="V23" s="38">
        <f t="shared" si="6"/>
        <v>1</v>
      </c>
      <c r="W23" s="38">
        <f t="shared" si="6"/>
        <v>1</v>
      </c>
      <c r="X23" s="38">
        <f t="shared" si="6"/>
        <v>1</v>
      </c>
      <c r="Y23" s="38">
        <f t="shared" si="6"/>
        <v>1</v>
      </c>
      <c r="Z23" s="38">
        <f t="shared" si="6"/>
        <v>0</v>
      </c>
      <c r="AA23" s="38">
        <f t="shared" si="6"/>
        <v>1</v>
      </c>
      <c r="AB23" s="38">
        <f t="shared" si="6"/>
        <v>1</v>
      </c>
      <c r="AC23" s="38">
        <f t="shared" si="6"/>
        <v>1</v>
      </c>
      <c r="AD23" s="38">
        <f t="shared" si="6"/>
        <v>1</v>
      </c>
      <c r="AE23" s="38">
        <f t="shared" si="6"/>
        <v>1</v>
      </c>
      <c r="AF23" s="38">
        <f t="shared" si="6"/>
        <v>1</v>
      </c>
      <c r="AG23" s="38">
        <f t="shared" si="6"/>
        <v>1</v>
      </c>
      <c r="AH23" s="38">
        <f t="shared" si="6"/>
        <v>1</v>
      </c>
      <c r="AI23" s="38">
        <f t="shared" si="6"/>
        <v>1</v>
      </c>
      <c r="AJ23" s="38">
        <f t="shared" si="6"/>
        <v>1</v>
      </c>
      <c r="AK23" s="38">
        <f t="shared" si="6"/>
        <v>1</v>
      </c>
    </row>
    <row r="24" spans="1:37" ht="15.75" thickBot="1" x14ac:dyDescent="0.3"/>
    <row r="25" spans="1:37" x14ac:dyDescent="0.25">
      <c r="A25" s="44" t="s">
        <v>14</v>
      </c>
      <c r="B25" s="45" t="s">
        <v>24</v>
      </c>
      <c r="G25" s="8"/>
      <c r="H25" s="8"/>
      <c r="I25" s="8"/>
      <c r="J25" s="8"/>
      <c r="K25" s="8"/>
      <c r="L25" s="8"/>
      <c r="M25" s="8"/>
    </row>
    <row r="26" spans="1:37" ht="15.75" thickBot="1" x14ac:dyDescent="0.3">
      <c r="A26" s="46" t="s">
        <v>12</v>
      </c>
      <c r="B26" s="47" t="s">
        <v>25</v>
      </c>
      <c r="G26" s="8"/>
      <c r="H26" s="8"/>
      <c r="I26" s="8"/>
      <c r="J26" s="8"/>
      <c r="K26" s="8"/>
      <c r="L26" s="8"/>
      <c r="M26" s="8"/>
    </row>
    <row r="27" spans="1:37" ht="15.75" thickBot="1" x14ac:dyDescent="0.3">
      <c r="A27" s="42" t="s">
        <v>17</v>
      </c>
      <c r="B27" s="43" t="s">
        <v>26</v>
      </c>
      <c r="G27" s="8"/>
      <c r="H27" s="8"/>
      <c r="I27" s="8"/>
      <c r="J27" s="8"/>
      <c r="K27" s="8"/>
      <c r="L27" s="8"/>
      <c r="M27" s="8"/>
    </row>
    <row r="28" spans="1:37" ht="15.75" thickBot="1" x14ac:dyDescent="0.3">
      <c r="A28" s="6" t="s">
        <v>9</v>
      </c>
      <c r="B28" s="9" t="s">
        <v>27</v>
      </c>
      <c r="G28" s="8"/>
      <c r="H28" s="8"/>
      <c r="I28" s="8"/>
      <c r="J28" s="8"/>
      <c r="K28" s="8"/>
      <c r="L28" s="8"/>
      <c r="M28" s="8"/>
      <c r="N28" t="s">
        <v>56</v>
      </c>
    </row>
    <row r="29" spans="1:37" ht="15.75" thickBot="1" x14ac:dyDescent="0.3">
      <c r="A29" s="5" t="s">
        <v>28</v>
      </c>
      <c r="B29" s="10" t="s">
        <v>29</v>
      </c>
      <c r="G29" s="8"/>
      <c r="H29" s="8"/>
      <c r="I29" s="8"/>
      <c r="J29" s="8"/>
      <c r="K29" s="8"/>
      <c r="L29" s="8"/>
      <c r="M29" s="8"/>
    </row>
    <row r="30" spans="1:37" ht="15.75" thickBot="1" x14ac:dyDescent="0.3">
      <c r="A30" s="11" t="s">
        <v>30</v>
      </c>
      <c r="B30" s="10" t="s">
        <v>31</v>
      </c>
      <c r="G30" s="8"/>
      <c r="H30" s="8"/>
      <c r="I30" s="8"/>
      <c r="J30" s="8"/>
      <c r="K30" s="8"/>
      <c r="L30" s="8"/>
      <c r="M30" s="8"/>
    </row>
    <row r="31" spans="1:37" ht="15.75" thickBot="1" x14ac:dyDescent="0.3">
      <c r="A31" s="12" t="s">
        <v>32</v>
      </c>
      <c r="B31" s="10" t="s">
        <v>33</v>
      </c>
      <c r="G31" s="8"/>
      <c r="H31" s="8"/>
      <c r="I31" s="8"/>
      <c r="J31" s="8"/>
      <c r="K31" s="8"/>
      <c r="L31" s="8"/>
      <c r="M31" s="8"/>
    </row>
    <row r="32" spans="1:37" ht="15.75" thickBot="1" x14ac:dyDescent="0.3">
      <c r="A32" s="13" t="s">
        <v>13</v>
      </c>
      <c r="B32" s="10" t="s">
        <v>34</v>
      </c>
      <c r="G32" s="8"/>
      <c r="H32" s="8"/>
      <c r="I32" s="8"/>
      <c r="J32" s="8"/>
      <c r="K32" s="8"/>
      <c r="L32" s="8"/>
      <c r="M32" s="8"/>
    </row>
    <row r="33" spans="1:13" ht="15.75" thickBot="1" x14ac:dyDescent="0.3">
      <c r="A33" s="14" t="s">
        <v>35</v>
      </c>
      <c r="B33" s="10" t="s">
        <v>36</v>
      </c>
      <c r="G33" s="8"/>
      <c r="H33" s="8"/>
      <c r="I33" s="8"/>
      <c r="J33" s="8"/>
      <c r="K33" s="8"/>
      <c r="L33" s="8"/>
      <c r="M33" s="8"/>
    </row>
    <row r="34" spans="1:13" ht="15.75" thickBot="1" x14ac:dyDescent="0.3">
      <c r="A34" s="15" t="s">
        <v>37</v>
      </c>
      <c r="B34" s="10" t="s">
        <v>38</v>
      </c>
      <c r="G34" s="8"/>
      <c r="H34" s="8"/>
      <c r="I34" s="8"/>
      <c r="J34" s="8"/>
      <c r="K34" s="8"/>
      <c r="L34" s="8"/>
      <c r="M34" s="8"/>
    </row>
    <row r="35" spans="1:13" ht="15.75" thickBot="1" x14ac:dyDescent="0.3">
      <c r="A35" s="16" t="s">
        <v>39</v>
      </c>
      <c r="B35" s="10" t="s">
        <v>40</v>
      </c>
      <c r="G35" s="8"/>
      <c r="H35" s="8"/>
      <c r="I35" s="8"/>
      <c r="J35" s="8"/>
      <c r="K35" s="8"/>
      <c r="L35" s="8"/>
      <c r="M35" s="8"/>
    </row>
    <row r="36" spans="1:13" ht="15.75" thickBot="1" x14ac:dyDescent="0.3">
      <c r="A36" s="4" t="s">
        <v>10</v>
      </c>
      <c r="B36" s="10" t="s">
        <v>41</v>
      </c>
      <c r="G36" s="8"/>
      <c r="H36" s="8"/>
      <c r="I36" s="8"/>
      <c r="J36" s="8"/>
      <c r="K36" s="8"/>
      <c r="L36" s="8"/>
      <c r="M36" s="8"/>
    </row>
    <row r="37" spans="1:13" ht="15.75" thickBot="1" x14ac:dyDescent="0.3">
      <c r="A37" s="17" t="s">
        <v>42</v>
      </c>
      <c r="B37" s="10" t="s">
        <v>43</v>
      </c>
      <c r="G37" s="8"/>
      <c r="H37" s="8"/>
      <c r="I37" s="8"/>
      <c r="J37" s="8"/>
      <c r="K37" s="8"/>
      <c r="L37" s="8"/>
      <c r="M37" s="8"/>
    </row>
    <row r="38" spans="1:13" ht="15.75" thickBot="1" x14ac:dyDescent="0.3">
      <c r="A38" s="18" t="s">
        <v>44</v>
      </c>
      <c r="B38" s="10" t="s">
        <v>45</v>
      </c>
      <c r="G38" s="8"/>
      <c r="H38" s="8"/>
      <c r="I38" s="8"/>
      <c r="J38" s="8"/>
      <c r="K38" s="8"/>
      <c r="L38" s="8"/>
      <c r="M38" s="8"/>
    </row>
    <row r="39" spans="1:13" ht="15.75" thickBot="1" x14ac:dyDescent="0.3">
      <c r="A39" s="19" t="s">
        <v>46</v>
      </c>
      <c r="B39" s="10" t="s">
        <v>47</v>
      </c>
      <c r="G39" s="8"/>
      <c r="H39" s="8"/>
      <c r="I39" s="8"/>
      <c r="J39" s="8"/>
      <c r="K39" s="8"/>
      <c r="L39" s="8"/>
      <c r="M39" s="8"/>
    </row>
    <row r="40" spans="1:13" ht="15.75" thickBot="1" x14ac:dyDescent="0.3">
      <c r="A40" s="20" t="s">
        <v>48</v>
      </c>
      <c r="B40" s="10" t="s">
        <v>49</v>
      </c>
      <c r="G40" s="8"/>
      <c r="H40" s="8"/>
      <c r="I40" s="8"/>
      <c r="J40" s="8"/>
      <c r="K40" s="8"/>
      <c r="L40" s="8"/>
      <c r="M40" s="8"/>
    </row>
    <row r="41" spans="1:13" ht="15.75" thickBot="1" x14ac:dyDescent="0.3">
      <c r="A41" s="21" t="s">
        <v>28</v>
      </c>
      <c r="B41" s="10" t="s">
        <v>50</v>
      </c>
      <c r="G41" s="8"/>
      <c r="H41" s="8"/>
      <c r="I41" s="8"/>
      <c r="J41" s="8"/>
      <c r="K41" s="8"/>
      <c r="L41" s="8"/>
      <c r="M41" s="8"/>
    </row>
    <row r="42" spans="1:13" ht="15.75" thickBot="1" x14ac:dyDescent="0.3">
      <c r="A42" s="22" t="s">
        <v>51</v>
      </c>
      <c r="B42" s="10" t="s">
        <v>52</v>
      </c>
      <c r="G42" s="8"/>
      <c r="H42" s="8"/>
      <c r="I42" s="8"/>
      <c r="J42" s="8"/>
      <c r="K42" s="8"/>
      <c r="L42" s="8"/>
      <c r="M42" s="8"/>
    </row>
  </sheetData>
  <mergeCells count="2">
    <mergeCell ref="A2:B2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YAR Moayad</cp:lastModifiedBy>
  <cp:revision/>
  <dcterms:created xsi:type="dcterms:W3CDTF">2023-12-17T15:54:15Z</dcterms:created>
  <dcterms:modified xsi:type="dcterms:W3CDTF">2026-04-07T19:47:07Z</dcterms:modified>
  <cp:category/>
  <cp:contentStatus/>
</cp:coreProperties>
</file>