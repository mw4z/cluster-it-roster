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L\Downloads\"/>
    </mc:Choice>
  </mc:AlternateContent>
  <xr:revisionPtr revIDLastSave="0" documentId="13_ncr:1_{2437B78E-5438-4B8D-85D4-F7B75C89A7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ug Roster 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1" i="12" l="1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F21" i="12"/>
  <c r="E21" i="12"/>
  <c r="D21" i="12"/>
  <c r="C21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F20" i="12"/>
  <c r="E20" i="12"/>
  <c r="D20" i="12"/>
  <c r="C20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R18" i="12"/>
  <c r="Q18" i="12"/>
  <c r="P18" i="12"/>
  <c r="O18" i="12"/>
  <c r="N18" i="12"/>
  <c r="M18" i="12"/>
  <c r="K18" i="12"/>
  <c r="G18" i="12"/>
  <c r="F18" i="12"/>
  <c r="D18" i="12"/>
  <c r="C18" i="12"/>
</calcChain>
</file>

<file path=xl/sharedStrings.xml><?xml version="1.0" encoding="utf-8"?>
<sst xmlns="http://schemas.openxmlformats.org/spreadsheetml/2006/main" count="671" uniqueCount="64">
  <si>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</si>
  <si>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</si>
  <si>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</si>
  <si>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</si>
  <si>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</si>
  <si>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</si>
  <si>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</si>
  <si>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</si>
  <si>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</si>
  <si>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</si>
  <si>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</si>
  <si>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</si>
  <si>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</si>
  <si>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</si>
  <si>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</si>
  <si>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</si>
  <si>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</si>
  <si>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Mostafa Nabil</t>
  </si>
  <si>
    <t>Saad Marwan</t>
  </si>
  <si>
    <t xml:space="preserve">ziyad al zahrani 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</si>
  <si>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</si>
  <si>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</si>
  <si>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</si>
  <si>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</si>
  <si>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</si>
  <si>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</si>
  <si>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</si>
  <si>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</si>
  <si>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</si>
  <si>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</si>
  <si>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</si>
  <si>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</si>
  <si>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</si>
  <si>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</si>
  <si>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</si>
  <si>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</si>
  <si>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</si>
  <si>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</si>
  <si>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</si>
  <si>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</si>
  <si>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</si>
  <si>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</si>
  <si>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</si>
  <si>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</si>
  <si>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</si>
  <si>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</si>
  <si>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</si>
  <si>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</si>
  <si>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</si>
  <si>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</si>
  <si>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</si>
  <si>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</si>
  <si>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</si>
  <si>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</si>
  <si>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</si>
  <si>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N-z</t>
  </si>
  <si>
    <t>OFF-x</t>
  </si>
  <si>
    <t>Salem Seif</t>
  </si>
  <si>
    <t>M-z</t>
  </si>
  <si>
    <t xml:space="preserve">  Islam Hassan</t>
  </si>
  <si>
    <t>Sultan Kassar</t>
  </si>
  <si>
    <t>E-z</t>
  </si>
  <si>
    <t>Abdulrhman Alamoudi</t>
  </si>
  <si>
    <t>B-z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</si>
</sst>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49">
    <xf numFmtId="0" fontId="0" fillId="0" borderId="0" xfId="0"/>
    <xf numFmtId="0" fontId="9" fillId="0" borderId="0" xfId="0" applyFont="1" applyAlignment="1">
      <alignment horizontal="center"/>
    </xf>
    <xf numFmtId="0" fontId="7" fillId="18" borderId="19" xfId="5" applyFont="1" applyFill="1" applyBorder="1" applyAlignment="1">
      <alignment horizontal="center" vertical="center"/>
    </xf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6" fillId="25" borderId="1" xfId="4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9B7B-E02D-41FA-987E-019D1A079A9F}">
  <dimension ref="A1:AS40"/>
  <sheetViews>
    <sheetView tabSelected="1" zoomScale="85" zoomScaleNormal="85" workbookViewId="0">
      <pane xSplit="14" topLeftCell="O1" activePane="topRight" state="frozen"/>
      <selection pane="topRight" activeCell="A5" sqref="A5:XFD5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hidden="1" customWidth="1"/>
    <col min="4" max="4" width="13.85546875" style="3" hidden="1" customWidth="1"/>
    <col min="5" max="14" width="12.7109375" style="3" hidden="1" customWidth="1"/>
    <col min="15" max="45" width="12.7109375" style="3" customWidth="1"/>
    <col min="46" max="16384" width="9.140625" style="3"/>
  </cols>
  <sheetData>
    <row r="1" spans="1:45" ht="15" customHeight="1" x14ac:dyDescent="0.25">
      <c r="A1" s="4" t="s">
        <v>0</v>
      </c>
      <c r="B1" s="27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45857</v>
      </c>
      <c r="P1" s="5">
        <v>45858</v>
      </c>
      <c r="Q1" s="5">
        <v>45859</v>
      </c>
      <c r="R1" s="5">
        <v>45860</v>
      </c>
      <c r="S1" s="5">
        <v>45861</v>
      </c>
      <c r="T1" s="5">
        <v>45862</v>
      </c>
      <c r="U1" s="5">
        <v>45863</v>
      </c>
      <c r="V1" s="5">
        <v>45864</v>
      </c>
      <c r="W1" s="5">
        <v>45865</v>
      </c>
      <c r="X1" s="5">
        <v>45866</v>
      </c>
      <c r="Y1" s="5">
        <v>45867</v>
      </c>
      <c r="Z1" s="5">
        <v>45868</v>
      </c>
      <c r="AA1" s="5">
        <v>45869</v>
      </c>
      <c r="AB1" s="5">
        <v>45870</v>
      </c>
      <c r="AC1" s="5">
        <v>45871</v>
      </c>
      <c r="AD1" s="5">
        <v>45872</v>
      </c>
      <c r="AE1" s="5">
        <v>45873</v>
      </c>
      <c r="AF1" s="5">
        <v>45874</v>
      </c>
      <c r="AG1" s="5">
        <v>45875</v>
      </c>
      <c r="AH1" s="5">
        <v>45876</v>
      </c>
      <c r="AI1" s="5">
        <v>45877</v>
      </c>
      <c r="AJ1" s="5">
        <v>45878</v>
      </c>
      <c r="AK1" s="5">
        <v>45879</v>
      </c>
      <c r="AL1" s="5">
        <v>45880</v>
      </c>
      <c r="AM1" s="5">
        <v>45881</v>
      </c>
      <c r="AN1" s="5">
        <v>45882</v>
      </c>
      <c r="AO1" s="5">
        <v>45883</v>
      </c>
      <c r="AP1" s="5">
        <v>45884</v>
      </c>
      <c r="AQ1" s="5">
        <v>45885</v>
      </c>
      <c r="AR1" s="5">
        <v>45886</v>
      </c>
      <c r="AS1" s="5">
        <v>45887</v>
      </c>
    </row>
    <row r="2" spans="1:45" ht="15" customHeight="1" x14ac:dyDescent="0.25">
      <c r="A2" s="46"/>
      <c r="B2" s="47"/>
      <c r="C2" s="28" t="s">
        <v>6</v>
      </c>
      <c r="D2" s="28" t="s">
        <v>7</v>
      </c>
      <c r="E2" s="28" t="s">
        <v>8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2</v>
      </c>
      <c r="N2" s="28" t="s">
        <v>3</v>
      </c>
      <c r="O2" s="28" t="s">
        <v>6</v>
      </c>
      <c r="P2" s="28" t="s">
        <v>7</v>
      </c>
      <c r="Q2" s="28" t="s">
        <v>8</v>
      </c>
      <c r="R2" s="28" t="s">
        <v>2</v>
      </c>
      <c r="S2" s="28" t="s">
        <v>3</v>
      </c>
      <c r="T2" s="28" t="s">
        <v>4</v>
      </c>
      <c r="U2" s="28" t="s">
        <v>5</v>
      </c>
      <c r="V2" s="28" t="s">
        <v>6</v>
      </c>
      <c r="W2" s="28" t="s">
        <v>7</v>
      </c>
      <c r="X2" s="28" t="s">
        <v>8</v>
      </c>
      <c r="Y2" s="28" t="s">
        <v>2</v>
      </c>
      <c r="Z2" s="28" t="s">
        <v>3</v>
      </c>
      <c r="AA2" s="28" t="s">
        <v>4</v>
      </c>
      <c r="AB2" s="28" t="s">
        <v>5</v>
      </c>
      <c r="AC2" s="28" t="s">
        <v>6</v>
      </c>
      <c r="AD2" s="28" t="s">
        <v>7</v>
      </c>
      <c r="AE2" s="28" t="s">
        <v>8</v>
      </c>
      <c r="AF2" s="28" t="s">
        <v>2</v>
      </c>
      <c r="AG2" s="28" t="s">
        <v>3</v>
      </c>
      <c r="AH2" s="28" t="s">
        <v>4</v>
      </c>
      <c r="AI2" s="28" t="s">
        <v>5</v>
      </c>
      <c r="AJ2" s="28" t="s">
        <v>6</v>
      </c>
      <c r="AK2" s="28" t="s">
        <v>7</v>
      </c>
      <c r="AL2" s="28" t="s">
        <v>8</v>
      </c>
      <c r="AM2" s="28" t="s">
        <v>2</v>
      </c>
      <c r="AN2" s="28" t="s">
        <v>3</v>
      </c>
      <c r="AO2" s="28" t="s">
        <v>4</v>
      </c>
      <c r="AP2" s="28" t="s">
        <v>5</v>
      </c>
      <c r="AQ2" s="28" t="s">
        <v>6</v>
      </c>
      <c r="AR2" s="28" t="s">
        <v>7</v>
      </c>
      <c r="AS2" s="28" t="s">
        <v>8</v>
      </c>
    </row>
    <row r="3" spans="1:45" ht="15" customHeight="1" x14ac:dyDescent="0.25">
      <c r="A3" s="28">
        <v>1</v>
      </c>
      <c r="B3" s="38" t="s">
        <v>57</v>
      </c>
      <c r="C3" s="30" t="s">
        <v>27</v>
      </c>
      <c r="D3" s="30" t="s">
        <v>27</v>
      </c>
      <c r="E3" s="30" t="s">
        <v>27</v>
      </c>
      <c r="F3" s="30" t="s">
        <v>27</v>
      </c>
      <c r="G3" s="30" t="s">
        <v>27</v>
      </c>
      <c r="H3" s="30" t="s">
        <v>27</v>
      </c>
      <c r="I3" s="30" t="s">
        <v>27</v>
      </c>
      <c r="J3" s="30" t="s">
        <v>27</v>
      </c>
      <c r="K3" s="30" t="s">
        <v>27</v>
      </c>
      <c r="L3" s="30" t="s">
        <v>27</v>
      </c>
      <c r="M3" s="30" t="s">
        <v>27</v>
      </c>
      <c r="N3" s="30" t="s">
        <v>27</v>
      </c>
      <c r="O3" s="2" t="s">
        <v>10</v>
      </c>
      <c r="P3" s="6" t="s">
        <v>14</v>
      </c>
      <c r="Q3" s="6" t="s">
        <v>14</v>
      </c>
      <c r="R3" s="6" t="s">
        <v>14</v>
      </c>
      <c r="S3" s="6" t="s">
        <v>14</v>
      </c>
      <c r="T3" s="6" t="s">
        <v>14</v>
      </c>
      <c r="U3" s="6" t="s">
        <v>14</v>
      </c>
      <c r="V3" s="2" t="s">
        <v>10</v>
      </c>
      <c r="W3" s="6" t="s">
        <v>14</v>
      </c>
      <c r="X3" s="6" t="s">
        <v>14</v>
      </c>
      <c r="Y3" s="6" t="s">
        <v>14</v>
      </c>
      <c r="Z3" s="6" t="s">
        <v>14</v>
      </c>
      <c r="AA3" s="6" t="s">
        <v>14</v>
      </c>
      <c r="AB3" s="6" t="s">
        <v>14</v>
      </c>
      <c r="AC3" s="2" t="s">
        <v>10</v>
      </c>
      <c r="AD3" s="6" t="s">
        <v>14</v>
      </c>
      <c r="AE3" s="6" t="s">
        <v>14</v>
      </c>
      <c r="AF3" s="6" t="s">
        <v>14</v>
      </c>
      <c r="AG3" s="6" t="s">
        <v>14</v>
      </c>
      <c r="AH3" s="6" t="s">
        <v>14</v>
      </c>
      <c r="AI3" s="6" t="s">
        <v>14</v>
      </c>
      <c r="AJ3" s="2" t="s">
        <v>10</v>
      </c>
      <c r="AK3" s="6" t="s">
        <v>14</v>
      </c>
      <c r="AL3" s="6" t="s">
        <v>14</v>
      </c>
      <c r="AM3" s="6" t="s">
        <v>14</v>
      </c>
      <c r="AN3" s="6" t="s">
        <v>14</v>
      </c>
      <c r="AO3" s="6" t="s">
        <v>14</v>
      </c>
      <c r="AP3" s="6" t="s">
        <v>14</v>
      </c>
      <c r="AQ3" s="2" t="s">
        <v>10</v>
      </c>
      <c r="AR3" s="6" t="s">
        <v>14</v>
      </c>
      <c r="AS3" s="6" t="s">
        <v>14</v>
      </c>
    </row>
    <row r="4" spans="1:45" ht="15" customHeight="1" thickBot="1" x14ac:dyDescent="0.3">
      <c r="A4" s="28">
        <v>2</v>
      </c>
      <c r="B4" s="38" t="s">
        <v>62</v>
      </c>
      <c r="C4" s="30" t="s">
        <v>27</v>
      </c>
      <c r="D4" s="30" t="s">
        <v>27</v>
      </c>
      <c r="E4" s="2" t="s">
        <v>10</v>
      </c>
      <c r="F4" s="2" t="s">
        <v>10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58</v>
      </c>
      <c r="M4" s="6" t="s">
        <v>58</v>
      </c>
      <c r="N4" s="6" t="s">
        <v>14</v>
      </c>
      <c r="O4" s="6" t="s">
        <v>14</v>
      </c>
      <c r="P4" s="6" t="s">
        <v>14</v>
      </c>
      <c r="Q4" s="6" t="s">
        <v>14</v>
      </c>
      <c r="R4" s="6" t="s">
        <v>14</v>
      </c>
      <c r="S4" s="6" t="s">
        <v>14</v>
      </c>
      <c r="T4" s="2" t="s">
        <v>10</v>
      </c>
      <c r="U4" s="2" t="s">
        <v>10</v>
      </c>
      <c r="V4" s="6" t="s">
        <v>14</v>
      </c>
      <c r="W4" s="6" t="s">
        <v>14</v>
      </c>
      <c r="X4" s="6" t="s">
        <v>14</v>
      </c>
      <c r="Y4" s="6" t="s">
        <v>14</v>
      </c>
      <c r="Z4" s="6" t="s">
        <v>14</v>
      </c>
      <c r="AA4" s="2" t="s">
        <v>10</v>
      </c>
      <c r="AB4" s="2" t="s">
        <v>10</v>
      </c>
      <c r="AC4" s="6" t="s">
        <v>14</v>
      </c>
      <c r="AD4" s="6" t="s">
        <v>14</v>
      </c>
      <c r="AE4" s="6" t="s">
        <v>14</v>
      </c>
      <c r="AF4" s="6" t="s">
        <v>14</v>
      </c>
      <c r="AG4" s="6" t="s">
        <v>14</v>
      </c>
      <c r="AH4" s="2" t="s">
        <v>10</v>
      </c>
      <c r="AI4" s="2" t="s">
        <v>10</v>
      </c>
      <c r="AJ4" s="6" t="s">
        <v>14</v>
      </c>
      <c r="AK4" s="6" t="s">
        <v>14</v>
      </c>
      <c r="AL4" s="6" t="s">
        <v>14</v>
      </c>
      <c r="AM4" s="6" t="s">
        <v>14</v>
      </c>
      <c r="AN4" s="6" t="s">
        <v>14</v>
      </c>
      <c r="AO4" s="2" t="s">
        <v>10</v>
      </c>
      <c r="AP4" s="2" t="s">
        <v>10</v>
      </c>
      <c r="AQ4" s="6" t="s">
        <v>14</v>
      </c>
      <c r="AR4" s="6" t="s">
        <v>14</v>
      </c>
      <c r="AS4" s="6" t="s">
        <v>14</v>
      </c>
    </row>
    <row r="5" spans="1:45" ht="15" customHeight="1" thickBot="1" x14ac:dyDescent="0.3">
      <c r="A5" s="28">
        <v>3</v>
      </c>
      <c r="B5" s="38" t="s">
        <v>52</v>
      </c>
      <c r="C5" s="6" t="s">
        <v>14</v>
      </c>
      <c r="D5" s="6" t="s">
        <v>14</v>
      </c>
      <c r="E5" s="6" t="s">
        <v>14</v>
      </c>
      <c r="F5" s="6" t="s">
        <v>14</v>
      </c>
      <c r="G5" s="2" t="s">
        <v>10</v>
      </c>
      <c r="H5" s="2" t="s">
        <v>10</v>
      </c>
      <c r="I5" s="6" t="s">
        <v>14</v>
      </c>
      <c r="J5" s="25" t="s">
        <v>16</v>
      </c>
      <c r="K5" s="25" t="s">
        <v>16</v>
      </c>
      <c r="L5" s="25" t="s">
        <v>16</v>
      </c>
      <c r="M5" s="25" t="s">
        <v>16</v>
      </c>
      <c r="N5" s="2" t="s">
        <v>10</v>
      </c>
      <c r="O5" s="6" t="s">
        <v>14</v>
      </c>
      <c r="P5" s="6" t="s">
        <v>14</v>
      </c>
      <c r="Q5" s="9" t="s">
        <v>9</v>
      </c>
      <c r="R5" s="2" t="s">
        <v>10</v>
      </c>
      <c r="S5" s="2" t="s">
        <v>10</v>
      </c>
      <c r="T5" s="6" t="s">
        <v>14</v>
      </c>
      <c r="U5" s="6" t="s">
        <v>14</v>
      </c>
      <c r="V5" s="6" t="s">
        <v>14</v>
      </c>
      <c r="W5" s="6" t="s">
        <v>14</v>
      </c>
      <c r="X5" s="6" t="s">
        <v>14</v>
      </c>
      <c r="Y5" s="2" t="s">
        <v>10</v>
      </c>
      <c r="Z5" s="2" t="s">
        <v>10</v>
      </c>
      <c r="AA5" s="6" t="s">
        <v>14</v>
      </c>
      <c r="AB5" s="6" t="s">
        <v>14</v>
      </c>
      <c r="AC5" s="29" t="s">
        <v>12</v>
      </c>
      <c r="AD5" s="29" t="s">
        <v>12</v>
      </c>
      <c r="AE5" s="29" t="s">
        <v>12</v>
      </c>
      <c r="AF5" s="2" t="s">
        <v>10</v>
      </c>
      <c r="AG5" s="2" t="s">
        <v>10</v>
      </c>
      <c r="AH5" s="6" t="s">
        <v>14</v>
      </c>
      <c r="AI5" s="6" t="s">
        <v>14</v>
      </c>
      <c r="AJ5" s="6" t="s">
        <v>14</v>
      </c>
      <c r="AK5" s="6" t="s">
        <v>14</v>
      </c>
      <c r="AL5" s="6" t="s">
        <v>14</v>
      </c>
      <c r="AM5" s="2" t="s">
        <v>10</v>
      </c>
      <c r="AN5" s="2" t="s">
        <v>10</v>
      </c>
      <c r="AO5" s="6" t="s">
        <v>14</v>
      </c>
      <c r="AP5" s="6" t="s">
        <v>14</v>
      </c>
      <c r="AQ5" s="29" t="s">
        <v>12</v>
      </c>
      <c r="AR5" s="29" t="s">
        <v>12</v>
      </c>
      <c r="AS5" s="29" t="s">
        <v>12</v>
      </c>
    </row>
    <row r="6" spans="1:45" ht="15" customHeight="1" thickBot="1" x14ac:dyDescent="0.3">
      <c r="A6" s="28">
        <v>4</v>
      </c>
      <c r="B6" s="38" t="s">
        <v>19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2" t="s">
        <v>10</v>
      </c>
      <c r="I6" s="2" t="s">
        <v>10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14</v>
      </c>
      <c r="O6" s="6" t="s">
        <v>14</v>
      </c>
      <c r="P6" s="6" t="s">
        <v>14</v>
      </c>
      <c r="Q6" s="6" t="s">
        <v>14</v>
      </c>
      <c r="R6" s="6" t="s">
        <v>14</v>
      </c>
      <c r="S6" s="6" t="s">
        <v>14</v>
      </c>
      <c r="T6" s="2" t="s">
        <v>10</v>
      </c>
      <c r="U6" s="2" t="s">
        <v>10</v>
      </c>
      <c r="V6" s="6" t="s">
        <v>14</v>
      </c>
      <c r="W6" s="6" t="s">
        <v>14</v>
      </c>
      <c r="X6" s="6" t="s">
        <v>14</v>
      </c>
      <c r="Y6" s="6" t="s">
        <v>14</v>
      </c>
      <c r="Z6" s="6" t="s">
        <v>14</v>
      </c>
      <c r="AA6" s="2" t="s">
        <v>10</v>
      </c>
      <c r="AB6" s="2" t="s">
        <v>10</v>
      </c>
      <c r="AC6" s="6" t="s">
        <v>14</v>
      </c>
      <c r="AD6" s="6" t="s">
        <v>14</v>
      </c>
      <c r="AE6" s="6" t="s">
        <v>14</v>
      </c>
      <c r="AF6" s="6" t="s">
        <v>14</v>
      </c>
      <c r="AG6" s="6" t="s">
        <v>14</v>
      </c>
      <c r="AH6" s="2" t="s">
        <v>10</v>
      </c>
      <c r="AI6" s="2" t="s">
        <v>10</v>
      </c>
      <c r="AJ6" s="6" t="s">
        <v>14</v>
      </c>
      <c r="AK6" s="6" t="s">
        <v>14</v>
      </c>
      <c r="AL6" s="6" t="s">
        <v>14</v>
      </c>
      <c r="AM6" s="6" t="s">
        <v>14</v>
      </c>
      <c r="AN6" s="6" t="s">
        <v>14</v>
      </c>
      <c r="AO6" s="2" t="s">
        <v>10</v>
      </c>
      <c r="AP6" s="2" t="s">
        <v>10</v>
      </c>
      <c r="AQ6" s="6" t="s">
        <v>14</v>
      </c>
      <c r="AR6" s="6" t="s">
        <v>14</v>
      </c>
      <c r="AS6" s="6" t="s">
        <v>14</v>
      </c>
    </row>
    <row r="7" spans="1:45" ht="15" customHeight="1" thickBot="1" x14ac:dyDescent="0.3">
      <c r="A7" s="28">
        <v>5</v>
      </c>
      <c r="B7" s="38" t="s">
        <v>15</v>
      </c>
      <c r="C7" s="29" t="s">
        <v>12</v>
      </c>
      <c r="D7" s="29" t="s">
        <v>12</v>
      </c>
      <c r="E7" s="2" t="s">
        <v>10</v>
      </c>
      <c r="F7" s="2" t="s">
        <v>10</v>
      </c>
      <c r="G7" s="9" t="s">
        <v>9</v>
      </c>
      <c r="H7" s="29" t="s">
        <v>12</v>
      </c>
      <c r="I7" s="29" t="s">
        <v>12</v>
      </c>
      <c r="J7" s="29" t="s">
        <v>12</v>
      </c>
      <c r="K7" s="29" t="s">
        <v>12</v>
      </c>
      <c r="L7" s="2" t="s">
        <v>10</v>
      </c>
      <c r="M7" s="2" t="s">
        <v>10</v>
      </c>
      <c r="N7" s="25" t="s">
        <v>16</v>
      </c>
      <c r="O7" s="29" t="s">
        <v>61</v>
      </c>
      <c r="P7" s="29" t="s">
        <v>61</v>
      </c>
      <c r="Q7" s="2" t="s">
        <v>56</v>
      </c>
      <c r="R7" s="2" t="s">
        <v>56</v>
      </c>
      <c r="S7" s="6" t="s">
        <v>14</v>
      </c>
      <c r="T7" s="6" t="s">
        <v>14</v>
      </c>
      <c r="U7" s="6" t="s">
        <v>14</v>
      </c>
      <c r="V7" s="6" t="s">
        <v>58</v>
      </c>
      <c r="W7" s="6" t="s">
        <v>58</v>
      </c>
      <c r="X7" s="25" t="s">
        <v>16</v>
      </c>
      <c r="Y7" s="25" t="s">
        <v>16</v>
      </c>
      <c r="Z7" s="2" t="s">
        <v>56</v>
      </c>
      <c r="AA7" s="29" t="s">
        <v>12</v>
      </c>
      <c r="AB7" s="29" t="s">
        <v>12</v>
      </c>
      <c r="AC7" s="2" t="s">
        <v>10</v>
      </c>
      <c r="AD7" s="2" t="s">
        <v>10</v>
      </c>
      <c r="AE7" s="2" t="s">
        <v>56</v>
      </c>
      <c r="AF7" s="29" t="s">
        <v>12</v>
      </c>
      <c r="AG7" s="29" t="s">
        <v>12</v>
      </c>
      <c r="AH7" s="29" t="s">
        <v>12</v>
      </c>
      <c r="AI7" s="29" t="s">
        <v>12</v>
      </c>
      <c r="AJ7" s="2" t="s">
        <v>10</v>
      </c>
      <c r="AK7" s="2" t="s">
        <v>10</v>
      </c>
      <c r="AL7" s="6" t="s">
        <v>14</v>
      </c>
      <c r="AM7" s="6" t="s">
        <v>14</v>
      </c>
      <c r="AN7" s="6" t="s">
        <v>14</v>
      </c>
      <c r="AO7" s="6" t="s">
        <v>14</v>
      </c>
      <c r="AP7" s="29" t="s">
        <v>12</v>
      </c>
      <c r="AQ7" s="2" t="s">
        <v>10</v>
      </c>
      <c r="AR7" s="2" t="s">
        <v>10</v>
      </c>
      <c r="AS7" s="25" t="s">
        <v>16</v>
      </c>
    </row>
    <row r="8" spans="1:45" ht="15" customHeight="1" x14ac:dyDescent="0.25">
      <c r="A8" s="28">
        <v>6</v>
      </c>
      <c r="B8" s="38" t="s">
        <v>51</v>
      </c>
      <c r="C8" s="25" t="s">
        <v>16</v>
      </c>
      <c r="D8" s="25" t="s">
        <v>16</v>
      </c>
      <c r="E8" s="2" t="s">
        <v>10</v>
      </c>
      <c r="F8" s="2" t="s">
        <v>10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2" t="s">
        <v>10</v>
      </c>
      <c r="M8" s="2" t="s">
        <v>10</v>
      </c>
      <c r="N8" s="6" t="s">
        <v>14</v>
      </c>
      <c r="O8" s="6" t="s">
        <v>14</v>
      </c>
      <c r="P8" s="6" t="s">
        <v>14</v>
      </c>
      <c r="Q8" s="2" t="s">
        <v>10</v>
      </c>
      <c r="R8" s="2" t="s">
        <v>10</v>
      </c>
      <c r="S8" s="29" t="s">
        <v>12</v>
      </c>
      <c r="T8" s="29" t="s">
        <v>12</v>
      </c>
      <c r="U8" s="29" t="s">
        <v>12</v>
      </c>
      <c r="V8" s="29" t="s">
        <v>12</v>
      </c>
      <c r="W8" s="29" t="s">
        <v>12</v>
      </c>
      <c r="X8" s="29" t="s">
        <v>61</v>
      </c>
      <c r="Y8" s="29" t="s">
        <v>61</v>
      </c>
      <c r="Z8" s="29" t="s">
        <v>12</v>
      </c>
      <c r="AA8" s="2" t="s">
        <v>56</v>
      </c>
      <c r="AB8" s="2" t="s">
        <v>56</v>
      </c>
      <c r="AC8" s="45" t="s">
        <v>27</v>
      </c>
      <c r="AD8" s="45" t="s">
        <v>27</v>
      </c>
      <c r="AE8" s="2" t="s">
        <v>10</v>
      </c>
      <c r="AF8" s="2" t="s">
        <v>10</v>
      </c>
      <c r="AG8" s="6" t="s">
        <v>14</v>
      </c>
      <c r="AH8" s="6" t="s">
        <v>14</v>
      </c>
      <c r="AI8" s="29" t="s">
        <v>12</v>
      </c>
      <c r="AJ8" s="29" t="s">
        <v>12</v>
      </c>
      <c r="AK8" s="29" t="s">
        <v>12</v>
      </c>
      <c r="AL8" s="25" t="s">
        <v>55</v>
      </c>
      <c r="AM8" s="25" t="s">
        <v>55</v>
      </c>
      <c r="AN8" s="2" t="s">
        <v>56</v>
      </c>
      <c r="AO8" s="2" t="s">
        <v>56</v>
      </c>
      <c r="AP8" s="6" t="s">
        <v>14</v>
      </c>
      <c r="AQ8" s="6" t="s">
        <v>14</v>
      </c>
      <c r="AR8" s="6" t="s">
        <v>14</v>
      </c>
      <c r="AS8" s="2" t="s">
        <v>10</v>
      </c>
    </row>
    <row r="9" spans="1:45" ht="15" customHeight="1" thickBot="1" x14ac:dyDescent="0.3">
      <c r="A9" s="28">
        <v>7</v>
      </c>
      <c r="B9" s="38" t="s">
        <v>18</v>
      </c>
      <c r="C9" s="2" t="s">
        <v>10</v>
      </c>
      <c r="D9" s="2" t="s">
        <v>10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2" t="s">
        <v>10</v>
      </c>
      <c r="K9" s="2" t="s">
        <v>10</v>
      </c>
      <c r="L9" s="6" t="s">
        <v>14</v>
      </c>
      <c r="M9" s="6" t="s">
        <v>14</v>
      </c>
      <c r="N9" s="6" t="s">
        <v>14</v>
      </c>
      <c r="O9" s="6" t="s">
        <v>14</v>
      </c>
      <c r="P9" s="6" t="s">
        <v>14</v>
      </c>
      <c r="Q9" s="6" t="s">
        <v>14</v>
      </c>
      <c r="R9" s="6" t="s">
        <v>14</v>
      </c>
      <c r="S9" s="6" t="s">
        <v>14</v>
      </c>
      <c r="T9" s="2" t="s">
        <v>10</v>
      </c>
      <c r="U9" s="2" t="s">
        <v>10</v>
      </c>
      <c r="V9" s="6" t="s">
        <v>14</v>
      </c>
      <c r="W9" s="6" t="s">
        <v>14</v>
      </c>
      <c r="X9" s="6" t="s">
        <v>14</v>
      </c>
      <c r="Y9" s="6" t="s">
        <v>14</v>
      </c>
      <c r="Z9" s="6" t="s">
        <v>14</v>
      </c>
      <c r="AA9" s="2" t="s">
        <v>10</v>
      </c>
      <c r="AB9" s="2" t="s">
        <v>10</v>
      </c>
      <c r="AC9" s="6" t="s">
        <v>14</v>
      </c>
      <c r="AD9" s="6" t="s">
        <v>14</v>
      </c>
      <c r="AE9" s="6" t="s">
        <v>14</v>
      </c>
      <c r="AF9" s="6" t="s">
        <v>14</v>
      </c>
      <c r="AG9" s="6" t="s">
        <v>14</v>
      </c>
      <c r="AH9" s="2" t="s">
        <v>10</v>
      </c>
      <c r="AI9" s="2" t="s">
        <v>10</v>
      </c>
      <c r="AJ9" s="6" t="s">
        <v>14</v>
      </c>
      <c r="AK9" s="6" t="s">
        <v>14</v>
      </c>
      <c r="AL9" s="6" t="s">
        <v>14</v>
      </c>
      <c r="AM9" s="6" t="s">
        <v>14</v>
      </c>
      <c r="AN9" s="6" t="s">
        <v>14</v>
      </c>
      <c r="AO9" s="2" t="s">
        <v>10</v>
      </c>
      <c r="AP9" s="2" t="s">
        <v>10</v>
      </c>
      <c r="AQ9" s="6" t="s">
        <v>14</v>
      </c>
      <c r="AR9" s="6" t="s">
        <v>14</v>
      </c>
      <c r="AS9" s="6" t="s">
        <v>14</v>
      </c>
    </row>
    <row r="10" spans="1:45" ht="15" customHeight="1" thickBot="1" x14ac:dyDescent="0.3">
      <c r="A10" s="28">
        <v>8</v>
      </c>
      <c r="B10" s="38" t="s">
        <v>60</v>
      </c>
      <c r="C10" s="29" t="s">
        <v>12</v>
      </c>
      <c r="D10" s="29" t="s">
        <v>12</v>
      </c>
      <c r="E10" s="2" t="s">
        <v>10</v>
      </c>
      <c r="F10" s="2" t="s">
        <v>10</v>
      </c>
      <c r="G10" s="9" t="s">
        <v>9</v>
      </c>
      <c r="H10" s="29" t="s">
        <v>12</v>
      </c>
      <c r="I10" s="29" t="s">
        <v>12</v>
      </c>
      <c r="J10" s="29" t="s">
        <v>12</v>
      </c>
      <c r="K10" s="29" t="s">
        <v>12</v>
      </c>
      <c r="L10" s="2" t="s">
        <v>10</v>
      </c>
      <c r="M10" s="2" t="s">
        <v>10</v>
      </c>
      <c r="N10" s="25" t="s">
        <v>16</v>
      </c>
      <c r="O10" s="29" t="s">
        <v>61</v>
      </c>
      <c r="P10" s="29" t="s">
        <v>61</v>
      </c>
      <c r="Q10" s="2" t="s">
        <v>56</v>
      </c>
      <c r="R10" s="2" t="s">
        <v>56</v>
      </c>
      <c r="S10" s="6" t="s">
        <v>14</v>
      </c>
      <c r="T10" s="6" t="s">
        <v>14</v>
      </c>
      <c r="U10" s="6" t="s">
        <v>14</v>
      </c>
      <c r="V10" s="6" t="s">
        <v>58</v>
      </c>
      <c r="W10" s="6" t="s">
        <v>58</v>
      </c>
      <c r="X10" s="2" t="s">
        <v>56</v>
      </c>
      <c r="Y10" s="2" t="s">
        <v>56</v>
      </c>
      <c r="Z10" s="6" t="s">
        <v>14</v>
      </c>
      <c r="AA10" s="6" t="s">
        <v>14</v>
      </c>
      <c r="AB10" s="6" t="s">
        <v>14</v>
      </c>
      <c r="AC10" s="9" t="s">
        <v>63</v>
      </c>
      <c r="AD10" s="9" t="s">
        <v>63</v>
      </c>
      <c r="AE10" s="25" t="s">
        <v>16</v>
      </c>
      <c r="AF10" s="25" t="s">
        <v>16</v>
      </c>
      <c r="AG10" s="2" t="s">
        <v>56</v>
      </c>
      <c r="AH10" s="2" t="s">
        <v>56</v>
      </c>
      <c r="AI10" s="6" t="s">
        <v>14</v>
      </c>
      <c r="AJ10" s="6" t="s">
        <v>58</v>
      </c>
      <c r="AK10" s="6" t="s">
        <v>58</v>
      </c>
      <c r="AL10" s="2" t="s">
        <v>56</v>
      </c>
      <c r="AM10" s="2" t="s">
        <v>56</v>
      </c>
      <c r="AN10" s="6" t="s">
        <v>14</v>
      </c>
      <c r="AO10" s="6" t="s">
        <v>14</v>
      </c>
      <c r="AP10" s="6" t="s">
        <v>14</v>
      </c>
      <c r="AQ10" s="2" t="s">
        <v>10</v>
      </c>
      <c r="AR10" s="2" t="s">
        <v>10</v>
      </c>
      <c r="AS10" s="6" t="s">
        <v>14</v>
      </c>
    </row>
    <row r="11" spans="1:45" ht="15" customHeight="1" thickBot="1" x14ac:dyDescent="0.3">
      <c r="A11" s="28">
        <v>9</v>
      </c>
      <c r="B11" s="38" t="s">
        <v>50</v>
      </c>
      <c r="C11" s="2" t="s">
        <v>10</v>
      </c>
      <c r="D11" s="2" t="s">
        <v>10</v>
      </c>
      <c r="E11" s="25" t="s">
        <v>16</v>
      </c>
      <c r="F11" s="25" t="s">
        <v>16</v>
      </c>
      <c r="G11" s="25" t="s">
        <v>16</v>
      </c>
      <c r="H11" s="25" t="s">
        <v>16</v>
      </c>
      <c r="I11" s="25" t="s">
        <v>16</v>
      </c>
      <c r="J11" s="2" t="s">
        <v>10</v>
      </c>
      <c r="K11" s="2" t="s">
        <v>10</v>
      </c>
      <c r="L11" s="6" t="s">
        <v>14</v>
      </c>
      <c r="M11" s="6" t="s">
        <v>14</v>
      </c>
      <c r="N11" s="29" t="s">
        <v>12</v>
      </c>
      <c r="O11" s="2" t="s">
        <v>10</v>
      </c>
      <c r="P11" s="2" t="s">
        <v>10</v>
      </c>
      <c r="Q11" s="29" t="s">
        <v>12</v>
      </c>
      <c r="R11" s="29" t="s">
        <v>12</v>
      </c>
      <c r="S11" s="29" t="s">
        <v>12</v>
      </c>
      <c r="T11" s="29" t="s">
        <v>12</v>
      </c>
      <c r="U11" s="29" t="s">
        <v>12</v>
      </c>
      <c r="V11" s="2" t="s">
        <v>10</v>
      </c>
      <c r="W11" s="2" t="s">
        <v>10</v>
      </c>
      <c r="X11" s="45" t="s">
        <v>27</v>
      </c>
      <c r="Y11" s="45" t="s">
        <v>27</v>
      </c>
      <c r="Z11" s="45" t="s">
        <v>27</v>
      </c>
      <c r="AA11" s="45" t="s">
        <v>27</v>
      </c>
      <c r="AB11" s="45" t="s">
        <v>27</v>
      </c>
      <c r="AC11" s="2" t="s">
        <v>10</v>
      </c>
      <c r="AD11" s="2" t="s">
        <v>10</v>
      </c>
      <c r="AE11" s="6" t="s">
        <v>14</v>
      </c>
      <c r="AF11" s="6" t="s">
        <v>14</v>
      </c>
      <c r="AG11" s="6" t="s">
        <v>14</v>
      </c>
      <c r="AH11" s="6" t="s">
        <v>14</v>
      </c>
      <c r="AI11" s="6" t="s">
        <v>14</v>
      </c>
      <c r="AJ11" s="2" t="s">
        <v>10</v>
      </c>
      <c r="AK11" s="2" t="s">
        <v>10</v>
      </c>
      <c r="AL11" s="29" t="s">
        <v>12</v>
      </c>
      <c r="AM11" s="29" t="s">
        <v>12</v>
      </c>
      <c r="AN11" s="29" t="s">
        <v>12</v>
      </c>
      <c r="AO11" s="29" t="s">
        <v>12</v>
      </c>
      <c r="AP11" s="29" t="s">
        <v>12</v>
      </c>
      <c r="AQ11" s="2" t="s">
        <v>10</v>
      </c>
      <c r="AR11" s="2" t="s">
        <v>10</v>
      </c>
      <c r="AS11" s="6" t="s">
        <v>14</v>
      </c>
    </row>
    <row r="12" spans="1:45" ht="15" customHeight="1" thickBot="1" x14ac:dyDescent="0.3">
      <c r="A12" s="28">
        <v>10</v>
      </c>
      <c r="B12" s="38" t="s">
        <v>20</v>
      </c>
      <c r="C12" s="6" t="s">
        <v>14</v>
      </c>
      <c r="D12" s="6" t="s">
        <v>14</v>
      </c>
      <c r="E12" s="6" t="s">
        <v>14</v>
      </c>
      <c r="F12" s="2" t="s">
        <v>10</v>
      </c>
      <c r="G12" s="2" t="s">
        <v>10</v>
      </c>
      <c r="H12" s="6" t="s">
        <v>14</v>
      </c>
      <c r="I12" s="6" t="s">
        <v>14</v>
      </c>
      <c r="J12" s="6" t="s">
        <v>14</v>
      </c>
      <c r="K12" s="6" t="s">
        <v>14</v>
      </c>
      <c r="L12" s="6" t="s">
        <v>14</v>
      </c>
      <c r="M12" s="2" t="s">
        <v>10</v>
      </c>
      <c r="N12" s="2" t="s">
        <v>10</v>
      </c>
      <c r="O12" s="6" t="s">
        <v>14</v>
      </c>
      <c r="P12" s="6" t="s">
        <v>14</v>
      </c>
      <c r="Q12" s="25" t="s">
        <v>16</v>
      </c>
      <c r="R12" s="25" t="s">
        <v>16</v>
      </c>
      <c r="S12" s="2" t="s">
        <v>10</v>
      </c>
      <c r="T12" s="2" t="s">
        <v>10</v>
      </c>
      <c r="U12" s="6" t="s">
        <v>14</v>
      </c>
      <c r="V12" s="9" t="s">
        <v>9</v>
      </c>
      <c r="W12" s="9" t="s">
        <v>9</v>
      </c>
      <c r="X12" s="9" t="s">
        <v>9</v>
      </c>
      <c r="Y12" s="9" t="s">
        <v>9</v>
      </c>
      <c r="Z12" s="9" t="s">
        <v>63</v>
      </c>
      <c r="AA12" s="2" t="s">
        <v>10</v>
      </c>
      <c r="AB12" s="2" t="s">
        <v>56</v>
      </c>
      <c r="AC12" s="6" t="s">
        <v>14</v>
      </c>
      <c r="AD12" s="6" t="s">
        <v>14</v>
      </c>
      <c r="AE12" s="9" t="s">
        <v>9</v>
      </c>
      <c r="AF12" s="9" t="s">
        <v>9</v>
      </c>
      <c r="AG12" s="9" t="s">
        <v>63</v>
      </c>
      <c r="AH12" s="2" t="s">
        <v>10</v>
      </c>
      <c r="AI12" s="2" t="s">
        <v>56</v>
      </c>
      <c r="AJ12" s="9" t="s">
        <v>9</v>
      </c>
      <c r="AK12" s="9" t="s">
        <v>9</v>
      </c>
      <c r="AL12" s="9" t="s">
        <v>9</v>
      </c>
      <c r="AM12" s="9" t="s">
        <v>9</v>
      </c>
      <c r="AN12" s="9" t="s">
        <v>63</v>
      </c>
      <c r="AO12" s="2" t="s">
        <v>10</v>
      </c>
      <c r="AP12" s="2" t="s">
        <v>56</v>
      </c>
      <c r="AQ12" s="9" t="s">
        <v>9</v>
      </c>
      <c r="AR12" s="9" t="s">
        <v>9</v>
      </c>
      <c r="AS12" s="9" t="s">
        <v>9</v>
      </c>
    </row>
    <row r="13" spans="1:45" ht="15" customHeight="1" x14ac:dyDescent="0.25">
      <c r="A13" s="28">
        <v>11</v>
      </c>
      <c r="B13" s="38" t="s">
        <v>53</v>
      </c>
      <c r="C13" s="2" t="s">
        <v>10</v>
      </c>
      <c r="D13" s="2" t="s">
        <v>10</v>
      </c>
      <c r="E13" s="29" t="s">
        <v>12</v>
      </c>
      <c r="F13" s="29" t="s">
        <v>12</v>
      </c>
      <c r="G13" s="29" t="s">
        <v>12</v>
      </c>
      <c r="H13" s="29" t="s">
        <v>12</v>
      </c>
      <c r="I13" s="29" t="s">
        <v>12</v>
      </c>
      <c r="J13" s="2" t="s">
        <v>10</v>
      </c>
      <c r="K13" s="2" t="s">
        <v>10</v>
      </c>
      <c r="L13" s="29" t="s">
        <v>12</v>
      </c>
      <c r="M13" s="29" t="s">
        <v>12</v>
      </c>
      <c r="N13" s="29" t="s">
        <v>12</v>
      </c>
      <c r="O13" s="25" t="s">
        <v>16</v>
      </c>
      <c r="P13" s="25" t="s">
        <v>16</v>
      </c>
      <c r="Q13" s="2" t="s">
        <v>10</v>
      </c>
      <c r="R13" s="2" t="s">
        <v>10</v>
      </c>
      <c r="S13" s="25" t="s">
        <v>16</v>
      </c>
      <c r="T13" s="25" t="s">
        <v>16</v>
      </c>
      <c r="U13" s="25" t="s">
        <v>16</v>
      </c>
      <c r="V13" s="25" t="s">
        <v>16</v>
      </c>
      <c r="W13" s="25" t="s">
        <v>16</v>
      </c>
      <c r="X13" s="2" t="s">
        <v>10</v>
      </c>
      <c r="Y13" s="2" t="s">
        <v>10</v>
      </c>
      <c r="Z13" s="25" t="s">
        <v>16</v>
      </c>
      <c r="AA13" s="25" t="s">
        <v>16</v>
      </c>
      <c r="AB13" s="25" t="s">
        <v>16</v>
      </c>
      <c r="AC13" s="25" t="s">
        <v>16</v>
      </c>
      <c r="AD13" s="25" t="s">
        <v>16</v>
      </c>
      <c r="AE13" s="2" t="s">
        <v>10</v>
      </c>
      <c r="AF13" s="2" t="s">
        <v>10</v>
      </c>
      <c r="AG13" s="25" t="s">
        <v>16</v>
      </c>
      <c r="AH13" s="25" t="s">
        <v>16</v>
      </c>
      <c r="AI13" s="25" t="s">
        <v>16</v>
      </c>
      <c r="AJ13" s="25" t="s">
        <v>16</v>
      </c>
      <c r="AK13" s="25" t="s">
        <v>16</v>
      </c>
      <c r="AL13" s="2" t="s">
        <v>10</v>
      </c>
      <c r="AM13" s="2" t="s">
        <v>10</v>
      </c>
      <c r="AN13" s="25" t="s">
        <v>16</v>
      </c>
      <c r="AO13" s="25" t="s">
        <v>16</v>
      </c>
      <c r="AP13" s="25" t="s">
        <v>16</v>
      </c>
      <c r="AQ13" s="25" t="s">
        <v>16</v>
      </c>
      <c r="AR13" s="25" t="s">
        <v>16</v>
      </c>
      <c r="AS13" s="2" t="s">
        <v>10</v>
      </c>
    </row>
    <row r="14" spans="1:45" ht="15" customHeight="1" thickBot="1" x14ac:dyDescent="0.3">
      <c r="A14" s="28">
        <v>12</v>
      </c>
      <c r="B14" s="38" t="s">
        <v>17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2" t="s">
        <v>10</v>
      </c>
      <c r="J14" s="6" t="s">
        <v>14</v>
      </c>
      <c r="K14" s="6" t="s">
        <v>14</v>
      </c>
      <c r="L14" s="6" t="s">
        <v>14</v>
      </c>
      <c r="M14" s="6" t="s">
        <v>14</v>
      </c>
      <c r="N14" s="6" t="s">
        <v>14</v>
      </c>
      <c r="O14" s="6" t="s">
        <v>14</v>
      </c>
      <c r="P14" s="6" t="s">
        <v>14</v>
      </c>
      <c r="Q14" s="6" t="s">
        <v>14</v>
      </c>
      <c r="R14" s="6" t="s">
        <v>14</v>
      </c>
      <c r="S14" s="6" t="s">
        <v>14</v>
      </c>
      <c r="T14" s="6" t="s">
        <v>14</v>
      </c>
      <c r="U14" s="2" t="s">
        <v>10</v>
      </c>
      <c r="V14" s="6" t="s">
        <v>14</v>
      </c>
      <c r="W14" s="6" t="s">
        <v>14</v>
      </c>
      <c r="X14" s="6" t="s">
        <v>14</v>
      </c>
      <c r="Y14" s="6" t="s">
        <v>14</v>
      </c>
      <c r="Z14" s="6" t="s">
        <v>14</v>
      </c>
      <c r="AA14" s="6" t="s">
        <v>14</v>
      </c>
      <c r="AB14" s="2" t="s">
        <v>10</v>
      </c>
      <c r="AC14" s="6" t="s">
        <v>14</v>
      </c>
      <c r="AD14" s="6" t="s">
        <v>14</v>
      </c>
      <c r="AE14" s="6" t="s">
        <v>14</v>
      </c>
      <c r="AF14" s="6" t="s">
        <v>14</v>
      </c>
      <c r="AG14" s="6" t="s">
        <v>14</v>
      </c>
      <c r="AH14" s="6" t="s">
        <v>14</v>
      </c>
      <c r="AI14" s="2" t="s">
        <v>10</v>
      </c>
      <c r="AJ14" s="6" t="s">
        <v>14</v>
      </c>
      <c r="AK14" s="6" t="s">
        <v>14</v>
      </c>
      <c r="AL14" s="6" t="s">
        <v>14</v>
      </c>
      <c r="AM14" s="6" t="s">
        <v>14</v>
      </c>
      <c r="AN14" s="6" t="s">
        <v>14</v>
      </c>
      <c r="AO14" s="6" t="s">
        <v>14</v>
      </c>
      <c r="AP14" s="2" t="s">
        <v>10</v>
      </c>
      <c r="AQ14" s="6" t="s">
        <v>14</v>
      </c>
      <c r="AR14" s="6" t="s">
        <v>14</v>
      </c>
      <c r="AS14" s="6" t="s">
        <v>14</v>
      </c>
    </row>
    <row r="15" spans="1:45" ht="15" customHeight="1" thickBot="1" x14ac:dyDescent="0.3">
      <c r="A15" s="28">
        <v>13</v>
      </c>
      <c r="B15" s="38" t="s">
        <v>11</v>
      </c>
      <c r="C15" s="9" t="s">
        <v>9</v>
      </c>
      <c r="D15" s="9" t="s">
        <v>9</v>
      </c>
      <c r="E15" s="9" t="s">
        <v>9</v>
      </c>
      <c r="F15" s="9" t="s">
        <v>9</v>
      </c>
      <c r="G15" s="29" t="s">
        <v>12</v>
      </c>
      <c r="H15" s="2" t="s">
        <v>10</v>
      </c>
      <c r="I15" s="2" t="s">
        <v>10</v>
      </c>
      <c r="J15" s="29" t="s">
        <v>12</v>
      </c>
      <c r="K15" s="29" t="s">
        <v>12</v>
      </c>
      <c r="L15" s="29" t="s">
        <v>12</v>
      </c>
      <c r="M15" s="29" t="s">
        <v>12</v>
      </c>
      <c r="N15" s="29" t="s">
        <v>12</v>
      </c>
      <c r="O15" s="6" t="s">
        <v>14</v>
      </c>
      <c r="P15" s="6" t="s">
        <v>14</v>
      </c>
      <c r="Q15" s="6" t="s">
        <v>14</v>
      </c>
      <c r="R15" s="9" t="s">
        <v>9</v>
      </c>
      <c r="S15" s="2" t="s">
        <v>10</v>
      </c>
      <c r="T15" s="2" t="s">
        <v>10</v>
      </c>
      <c r="U15" s="6" t="s">
        <v>14</v>
      </c>
      <c r="V15" s="6" t="s">
        <v>14</v>
      </c>
      <c r="W15" s="6" t="s">
        <v>14</v>
      </c>
      <c r="X15" s="6" t="s">
        <v>14</v>
      </c>
      <c r="Y15" s="6" t="s">
        <v>14</v>
      </c>
      <c r="Z15" s="2" t="s">
        <v>10</v>
      </c>
      <c r="AA15" s="2" t="s">
        <v>10</v>
      </c>
      <c r="AB15" s="6" t="s">
        <v>14</v>
      </c>
      <c r="AC15" s="6" t="s">
        <v>14</v>
      </c>
      <c r="AD15" s="6" t="s">
        <v>14</v>
      </c>
      <c r="AE15" s="6" t="s">
        <v>14</v>
      </c>
      <c r="AF15" s="6" t="s">
        <v>14</v>
      </c>
      <c r="AG15" s="2" t="s">
        <v>10</v>
      </c>
      <c r="AH15" s="2" t="s">
        <v>10</v>
      </c>
      <c r="AI15" s="6" t="s">
        <v>14</v>
      </c>
      <c r="AJ15" s="6" t="s">
        <v>14</v>
      </c>
      <c r="AK15" s="6" t="s">
        <v>14</v>
      </c>
      <c r="AL15" s="6" t="s">
        <v>14</v>
      </c>
      <c r="AM15" s="6" t="s">
        <v>14</v>
      </c>
      <c r="AN15" s="2" t="s">
        <v>10</v>
      </c>
      <c r="AO15" s="2" t="s">
        <v>10</v>
      </c>
      <c r="AP15" s="6" t="s">
        <v>14</v>
      </c>
      <c r="AQ15" s="6" t="s">
        <v>14</v>
      </c>
      <c r="AR15" s="6" t="s">
        <v>14</v>
      </c>
      <c r="AS15" s="6" t="s">
        <v>14</v>
      </c>
    </row>
    <row r="16" spans="1:45" ht="15" customHeight="1" x14ac:dyDescent="0.25">
      <c r="A16" s="28">
        <v>14</v>
      </c>
      <c r="B16" s="38" t="s">
        <v>59</v>
      </c>
      <c r="C16" s="30" t="s">
        <v>27</v>
      </c>
      <c r="D16" s="30" t="s">
        <v>27</v>
      </c>
      <c r="E16" s="30" t="s">
        <v>27</v>
      </c>
      <c r="F16" s="30" t="s">
        <v>27</v>
      </c>
      <c r="G16" s="30" t="s">
        <v>27</v>
      </c>
      <c r="H16" s="30" t="s">
        <v>27</v>
      </c>
      <c r="I16" s="30" t="s">
        <v>27</v>
      </c>
      <c r="J16" s="30" t="s">
        <v>27</v>
      </c>
      <c r="K16" s="30" t="s">
        <v>27</v>
      </c>
      <c r="L16" s="30" t="s">
        <v>27</v>
      </c>
      <c r="M16" s="30" t="s">
        <v>27</v>
      </c>
      <c r="N16" s="6" t="s">
        <v>14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</row>
    <row r="17" spans="1:32" x14ac:dyDescent="0.25">
      <c r="A17" s="46"/>
      <c r="B17" s="48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 ht="15.75" hidden="1" thickBot="1" x14ac:dyDescent="0.3">
      <c r="A18" s="31"/>
      <c r="B18" s="32" t="s">
        <v>14</v>
      </c>
      <c r="C18" s="6">
        <f>COUNTIF(C12:C17,"M")</f>
        <v>2</v>
      </c>
      <c r="D18" s="6">
        <f>COUNTIF(D12:D17,"M")</f>
        <v>2</v>
      </c>
      <c r="E18" s="6">
        <v>3</v>
      </c>
      <c r="F18" s="6">
        <f>COUNTIF(F12:F17,"M")</f>
        <v>1</v>
      </c>
      <c r="G18" s="6">
        <f>COUNTIF(G12:G17,"M")</f>
        <v>1</v>
      </c>
      <c r="H18" s="6">
        <v>3</v>
      </c>
      <c r="I18" s="6">
        <v>3</v>
      </c>
      <c r="J18" s="6">
        <v>3</v>
      </c>
      <c r="K18" s="6">
        <f>COUNTIF(K12:K17,"M")</f>
        <v>2</v>
      </c>
      <c r="L18" s="6">
        <v>3</v>
      </c>
      <c r="M18" s="6">
        <f t="shared" ref="M18:R18" si="0">COUNTIF(M12:M17,"M")</f>
        <v>1</v>
      </c>
      <c r="N18" s="6">
        <f t="shared" si="0"/>
        <v>2</v>
      </c>
      <c r="O18" s="6">
        <f t="shared" si="0"/>
        <v>3</v>
      </c>
      <c r="P18" s="6">
        <f t="shared" si="0"/>
        <v>3</v>
      </c>
      <c r="Q18" s="6">
        <f t="shared" si="0"/>
        <v>2</v>
      </c>
      <c r="R18" s="6">
        <f t="shared" si="0"/>
        <v>1</v>
      </c>
      <c r="S18" s="6">
        <v>3</v>
      </c>
      <c r="T18" s="6">
        <f t="shared" ref="T18:AF18" si="1">COUNTIF(T12:T17,"M")</f>
        <v>1</v>
      </c>
      <c r="U18" s="6">
        <f t="shared" si="1"/>
        <v>2</v>
      </c>
      <c r="V18" s="6">
        <f t="shared" si="1"/>
        <v>2</v>
      </c>
      <c r="W18" s="6">
        <f t="shared" si="1"/>
        <v>2</v>
      </c>
      <c r="X18" s="6">
        <f t="shared" si="1"/>
        <v>2</v>
      </c>
      <c r="Y18" s="6">
        <f t="shared" si="1"/>
        <v>2</v>
      </c>
      <c r="Z18" s="6">
        <f t="shared" si="1"/>
        <v>1</v>
      </c>
      <c r="AA18" s="6">
        <f t="shared" si="1"/>
        <v>1</v>
      </c>
      <c r="AB18" s="6">
        <f t="shared" si="1"/>
        <v>1</v>
      </c>
      <c r="AC18" s="6">
        <f t="shared" si="1"/>
        <v>3</v>
      </c>
      <c r="AD18" s="6">
        <f t="shared" si="1"/>
        <v>3</v>
      </c>
      <c r="AE18" s="6">
        <f t="shared" si="1"/>
        <v>2</v>
      </c>
      <c r="AF18" s="6">
        <f t="shared" si="1"/>
        <v>2</v>
      </c>
    </row>
    <row r="19" spans="1:32" hidden="1" x14ac:dyDescent="0.25">
      <c r="A19" s="31"/>
      <c r="B19" s="33" t="s">
        <v>9</v>
      </c>
      <c r="C19" s="33">
        <f t="shared" ref="C19:AF19" si="2">COUNTIF(C12:C17,"B")</f>
        <v>1</v>
      </c>
      <c r="D19" s="33">
        <f t="shared" si="2"/>
        <v>1</v>
      </c>
      <c r="E19" s="33">
        <f t="shared" si="2"/>
        <v>1</v>
      </c>
      <c r="F19" s="33">
        <f t="shared" si="2"/>
        <v>1</v>
      </c>
      <c r="G19" s="33">
        <f t="shared" si="2"/>
        <v>0</v>
      </c>
      <c r="H19" s="33">
        <f t="shared" si="2"/>
        <v>0</v>
      </c>
      <c r="I19" s="33">
        <f t="shared" si="2"/>
        <v>0</v>
      </c>
      <c r="J19" s="33">
        <f t="shared" si="2"/>
        <v>0</v>
      </c>
      <c r="K19" s="33">
        <f t="shared" si="2"/>
        <v>0</v>
      </c>
      <c r="L19" s="33">
        <f t="shared" si="2"/>
        <v>0</v>
      </c>
      <c r="M19" s="33">
        <f t="shared" si="2"/>
        <v>0</v>
      </c>
      <c r="N19" s="33">
        <f t="shared" si="2"/>
        <v>0</v>
      </c>
      <c r="O19" s="33">
        <f t="shared" si="2"/>
        <v>0</v>
      </c>
      <c r="P19" s="33">
        <f t="shared" si="2"/>
        <v>0</v>
      </c>
      <c r="Q19" s="33">
        <f t="shared" si="2"/>
        <v>0</v>
      </c>
      <c r="R19" s="33">
        <f t="shared" si="2"/>
        <v>1</v>
      </c>
      <c r="S19" s="33">
        <f t="shared" si="2"/>
        <v>0</v>
      </c>
      <c r="T19" s="33">
        <f t="shared" si="2"/>
        <v>0</v>
      </c>
      <c r="U19" s="33">
        <f t="shared" si="2"/>
        <v>0</v>
      </c>
      <c r="V19" s="33">
        <f t="shared" si="2"/>
        <v>1</v>
      </c>
      <c r="W19" s="33">
        <f t="shared" si="2"/>
        <v>1</v>
      </c>
      <c r="X19" s="33">
        <f t="shared" si="2"/>
        <v>1</v>
      </c>
      <c r="Y19" s="33">
        <f t="shared" si="2"/>
        <v>1</v>
      </c>
      <c r="Z19" s="33">
        <f t="shared" si="2"/>
        <v>0</v>
      </c>
      <c r="AA19" s="33">
        <f t="shared" si="2"/>
        <v>0</v>
      </c>
      <c r="AB19" s="33">
        <f t="shared" si="2"/>
        <v>0</v>
      </c>
      <c r="AC19" s="33">
        <f t="shared" si="2"/>
        <v>0</v>
      </c>
      <c r="AD19" s="33">
        <f t="shared" si="2"/>
        <v>0</v>
      </c>
      <c r="AE19" s="33">
        <f t="shared" si="2"/>
        <v>1</v>
      </c>
      <c r="AF19" s="33">
        <f t="shared" si="2"/>
        <v>1</v>
      </c>
    </row>
    <row r="20" spans="1:32" ht="12" hidden="1" customHeight="1" x14ac:dyDescent="0.25">
      <c r="A20" s="34"/>
      <c r="B20" s="35" t="s">
        <v>12</v>
      </c>
      <c r="C20" s="29">
        <f>COUNTIF(C12:C17,"E")</f>
        <v>0</v>
      </c>
      <c r="D20" s="29">
        <f>COUNTIF(D12:D17,"E")</f>
        <v>0</v>
      </c>
      <c r="E20" s="29">
        <f>COUNTIF(E12:E17,"E")</f>
        <v>1</v>
      </c>
      <c r="F20" s="29">
        <f>COUNTIF(F12:F17,"E")</f>
        <v>1</v>
      </c>
      <c r="G20" s="29">
        <v>1</v>
      </c>
      <c r="H20" s="29">
        <v>1</v>
      </c>
      <c r="I20" s="29">
        <f t="shared" ref="I20:AF20" si="3">COUNTIF(I12:I17,"E")</f>
        <v>1</v>
      </c>
      <c r="J20" s="29">
        <f t="shared" si="3"/>
        <v>1</v>
      </c>
      <c r="K20" s="29">
        <f t="shared" si="3"/>
        <v>1</v>
      </c>
      <c r="L20" s="29">
        <f t="shared" si="3"/>
        <v>2</v>
      </c>
      <c r="M20" s="29">
        <f t="shared" si="3"/>
        <v>2</v>
      </c>
      <c r="N20" s="29">
        <f t="shared" si="3"/>
        <v>2</v>
      </c>
      <c r="O20" s="29">
        <f t="shared" si="3"/>
        <v>0</v>
      </c>
      <c r="P20" s="29">
        <f t="shared" si="3"/>
        <v>0</v>
      </c>
      <c r="Q20" s="29">
        <f t="shared" si="3"/>
        <v>0</v>
      </c>
      <c r="R20" s="29">
        <f t="shared" si="3"/>
        <v>0</v>
      </c>
      <c r="S20" s="29">
        <f t="shared" si="3"/>
        <v>0</v>
      </c>
      <c r="T20" s="29">
        <f t="shared" si="3"/>
        <v>0</v>
      </c>
      <c r="U20" s="29">
        <f t="shared" si="3"/>
        <v>0</v>
      </c>
      <c r="V20" s="29">
        <f t="shared" si="3"/>
        <v>0</v>
      </c>
      <c r="W20" s="29">
        <f t="shared" si="3"/>
        <v>0</v>
      </c>
      <c r="X20" s="29">
        <f t="shared" si="3"/>
        <v>0</v>
      </c>
      <c r="Y20" s="29">
        <f t="shared" si="3"/>
        <v>0</v>
      </c>
      <c r="Z20" s="29">
        <f t="shared" si="3"/>
        <v>0</v>
      </c>
      <c r="AA20" s="29">
        <f t="shared" si="3"/>
        <v>0</v>
      </c>
      <c r="AB20" s="29">
        <f t="shared" si="3"/>
        <v>0</v>
      </c>
      <c r="AC20" s="29">
        <f t="shared" si="3"/>
        <v>0</v>
      </c>
      <c r="AD20" s="29">
        <f t="shared" si="3"/>
        <v>0</v>
      </c>
      <c r="AE20" s="29">
        <f t="shared" si="3"/>
        <v>0</v>
      </c>
      <c r="AF20" s="29">
        <f t="shared" si="3"/>
        <v>0</v>
      </c>
    </row>
    <row r="21" spans="1:32" hidden="1" x14ac:dyDescent="0.25">
      <c r="A21" s="10"/>
      <c r="B21" s="36" t="s">
        <v>16</v>
      </c>
      <c r="C21" s="37">
        <f>COUNTIF(C12:C17,"N")</f>
        <v>0</v>
      </c>
      <c r="D21" s="37">
        <f>COUNTIF(D12:D17,"N")</f>
        <v>0</v>
      </c>
      <c r="E21" s="37">
        <f>COUNTIF(E12:E17,"N")</f>
        <v>0</v>
      </c>
      <c r="F21" s="37">
        <f>COUNTIF(F12:F17,"N")</f>
        <v>0</v>
      </c>
      <c r="G21" s="37">
        <v>1</v>
      </c>
      <c r="H21" s="37">
        <f t="shared" ref="H21:AF21" si="4">COUNTIF(H12:H17,"N")</f>
        <v>0</v>
      </c>
      <c r="I21" s="37">
        <f t="shared" si="4"/>
        <v>0</v>
      </c>
      <c r="J21" s="37">
        <f t="shared" si="4"/>
        <v>0</v>
      </c>
      <c r="K21" s="37">
        <f t="shared" si="4"/>
        <v>0</v>
      </c>
      <c r="L21" s="37">
        <f t="shared" si="4"/>
        <v>0</v>
      </c>
      <c r="M21" s="37">
        <f t="shared" si="4"/>
        <v>0</v>
      </c>
      <c r="N21" s="37">
        <f t="shared" si="4"/>
        <v>0</v>
      </c>
      <c r="O21" s="37">
        <f t="shared" si="4"/>
        <v>1</v>
      </c>
      <c r="P21" s="37">
        <f t="shared" si="4"/>
        <v>1</v>
      </c>
      <c r="Q21" s="37">
        <f t="shared" si="4"/>
        <v>1</v>
      </c>
      <c r="R21" s="37">
        <f t="shared" si="4"/>
        <v>1</v>
      </c>
      <c r="S21" s="37">
        <f t="shared" si="4"/>
        <v>1</v>
      </c>
      <c r="T21" s="37">
        <f t="shared" si="4"/>
        <v>1</v>
      </c>
      <c r="U21" s="37">
        <f t="shared" si="4"/>
        <v>1</v>
      </c>
      <c r="V21" s="37">
        <f t="shared" si="4"/>
        <v>1</v>
      </c>
      <c r="W21" s="37">
        <f t="shared" si="4"/>
        <v>1</v>
      </c>
      <c r="X21" s="37">
        <f t="shared" si="4"/>
        <v>0</v>
      </c>
      <c r="Y21" s="37">
        <f t="shared" si="4"/>
        <v>0</v>
      </c>
      <c r="Z21" s="37">
        <f t="shared" si="4"/>
        <v>1</v>
      </c>
      <c r="AA21" s="37">
        <f t="shared" si="4"/>
        <v>1</v>
      </c>
      <c r="AB21" s="37">
        <f t="shared" si="4"/>
        <v>1</v>
      </c>
      <c r="AC21" s="37">
        <f t="shared" si="4"/>
        <v>1</v>
      </c>
      <c r="AD21" s="37">
        <f t="shared" si="4"/>
        <v>1</v>
      </c>
      <c r="AE21" s="37">
        <f t="shared" si="4"/>
        <v>0</v>
      </c>
      <c r="AF21" s="37">
        <f t="shared" si="4"/>
        <v>0</v>
      </c>
    </row>
    <row r="22" spans="1:32" ht="15.75" thickBot="1" x14ac:dyDescent="0.3"/>
    <row r="23" spans="1:32" x14ac:dyDescent="0.25">
      <c r="A23" s="41" t="s">
        <v>14</v>
      </c>
      <c r="B23" s="42" t="s">
        <v>21</v>
      </c>
      <c r="C23" s="1"/>
      <c r="D23" s="1"/>
      <c r="E23" s="1"/>
      <c r="F23" s="1"/>
      <c r="G23" s="1"/>
      <c r="H23" s="1"/>
      <c r="I23" s="1"/>
    </row>
    <row r="24" spans="1:32" ht="15.75" thickBot="1" x14ac:dyDescent="0.3">
      <c r="A24" s="43" t="s">
        <v>12</v>
      </c>
      <c r="B24" s="44" t="s">
        <v>22</v>
      </c>
      <c r="C24" s="1"/>
      <c r="D24" s="1"/>
      <c r="E24" s="1"/>
      <c r="F24" s="1"/>
      <c r="G24" s="1"/>
      <c r="H24" s="1"/>
      <c r="I24" s="1"/>
    </row>
    <row r="25" spans="1:32" ht="15.75" thickBot="1" x14ac:dyDescent="0.3">
      <c r="A25" s="39" t="s">
        <v>16</v>
      </c>
      <c r="B25" s="40" t="s">
        <v>23</v>
      </c>
      <c r="C25" s="1"/>
      <c r="D25" s="1"/>
      <c r="E25" s="1"/>
      <c r="F25" s="1"/>
      <c r="G25" s="1"/>
      <c r="H25" s="1"/>
      <c r="I25" s="1"/>
    </row>
    <row r="26" spans="1:32" ht="15.75" thickBot="1" x14ac:dyDescent="0.3">
      <c r="A26" s="9" t="s">
        <v>9</v>
      </c>
      <c r="B26" s="11" t="s">
        <v>24</v>
      </c>
      <c r="C26" s="1"/>
      <c r="D26" s="1"/>
      <c r="E26" s="1"/>
      <c r="F26" s="1"/>
      <c r="G26" s="1"/>
      <c r="H26" s="1"/>
      <c r="I26" s="1"/>
      <c r="J26" s="3" t="s">
        <v>54</v>
      </c>
    </row>
    <row r="27" spans="1:32" ht="15.75" thickBot="1" x14ac:dyDescent="0.3">
      <c r="A27" s="8" t="s">
        <v>25</v>
      </c>
      <c r="B27" s="12" t="s">
        <v>26</v>
      </c>
      <c r="C27" s="1"/>
      <c r="D27" s="1"/>
      <c r="E27" s="1"/>
      <c r="F27" s="1"/>
      <c r="G27" s="1"/>
      <c r="H27" s="1"/>
      <c r="I27" s="1"/>
    </row>
    <row r="28" spans="1:32" ht="15.75" thickBot="1" x14ac:dyDescent="0.3">
      <c r="A28" s="13" t="s">
        <v>27</v>
      </c>
      <c r="B28" s="12" t="s">
        <v>28</v>
      </c>
      <c r="C28" s="1"/>
      <c r="D28" s="1"/>
      <c r="E28" s="1"/>
      <c r="F28" s="1"/>
      <c r="G28" s="1"/>
      <c r="H28" s="1"/>
      <c r="I28" s="1"/>
    </row>
    <row r="29" spans="1:32" ht="15.75" thickBot="1" x14ac:dyDescent="0.3">
      <c r="A29" s="14" t="s">
        <v>29</v>
      </c>
      <c r="B29" s="12" t="s">
        <v>30</v>
      </c>
      <c r="C29" s="1"/>
      <c r="D29" s="1"/>
      <c r="E29" s="1"/>
      <c r="F29" s="1"/>
      <c r="G29" s="1"/>
      <c r="H29" s="1"/>
      <c r="I29" s="1"/>
    </row>
    <row r="30" spans="1:32" ht="15.75" thickBot="1" x14ac:dyDescent="0.3">
      <c r="A30" s="15" t="s">
        <v>13</v>
      </c>
      <c r="B30" s="12" t="s">
        <v>31</v>
      </c>
      <c r="C30" s="1"/>
      <c r="D30" s="1"/>
      <c r="E30" s="1"/>
      <c r="F30" s="1"/>
      <c r="G30" s="1"/>
      <c r="H30" s="1"/>
      <c r="I30" s="1"/>
    </row>
    <row r="31" spans="1:32" ht="15.75" thickBot="1" x14ac:dyDescent="0.3">
      <c r="A31" s="16" t="s">
        <v>32</v>
      </c>
      <c r="B31" s="12" t="s">
        <v>33</v>
      </c>
      <c r="C31" s="1"/>
      <c r="D31" s="1"/>
      <c r="E31" s="1"/>
      <c r="F31" s="1"/>
      <c r="G31" s="1"/>
      <c r="H31" s="1"/>
      <c r="I31" s="1"/>
    </row>
    <row r="32" spans="1:32" ht="15.75" thickBot="1" x14ac:dyDescent="0.3">
      <c r="A32" s="17" t="s">
        <v>34</v>
      </c>
      <c r="B32" s="12" t="s">
        <v>35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18" t="s">
        <v>36</v>
      </c>
      <c r="B33" s="12" t="s">
        <v>37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7" t="s">
        <v>10</v>
      </c>
      <c r="B34" s="12" t="s">
        <v>38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19" t="s">
        <v>39</v>
      </c>
      <c r="B35" s="12" t="s">
        <v>40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20" t="s">
        <v>41</v>
      </c>
      <c r="B36" s="12" t="s">
        <v>42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21" t="s">
        <v>43</v>
      </c>
      <c r="B37" s="12" t="s">
        <v>44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22" t="s">
        <v>45</v>
      </c>
      <c r="B38" s="12" t="s">
        <v>46</v>
      </c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23" t="s">
        <v>25</v>
      </c>
      <c r="B39" s="12" t="s">
        <v>47</v>
      </c>
      <c r="C39" s="1"/>
      <c r="D39" s="1"/>
      <c r="E39" s="1"/>
      <c r="F39" s="1"/>
      <c r="G39" s="1"/>
      <c r="H39" s="1"/>
      <c r="I39" s="1"/>
    </row>
    <row r="40" spans="1:9" ht="15.75" thickBot="1" x14ac:dyDescent="0.3">
      <c r="A40" s="24" t="s">
        <v>48</v>
      </c>
      <c r="B40" s="12" t="s">
        <v>49</v>
      </c>
      <c r="C40" s="1"/>
      <c r="D40" s="1"/>
      <c r="E40" s="1"/>
      <c r="F40" s="1"/>
      <c r="G40" s="1"/>
      <c r="H40" s="1"/>
      <c r="I40" s="1"/>
    </row>
  </sheetData>
  <mergeCells count="2">
    <mergeCell ref="A2:B2"/>
    <mergeCell ref="A17:B17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Roster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Mostafa NABIL</cp:lastModifiedBy>
  <cp:revision/>
  <dcterms:created xsi:type="dcterms:W3CDTF">2023-12-17T15:54:15Z</dcterms:created>
  <dcterms:modified xsi:type="dcterms:W3CDTF">2026-07-16T09:30:03Z</dcterms:modified>
  <cp:category/>
  <cp:contentStatus/>
</cp:coreProperties>
</file>