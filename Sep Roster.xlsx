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NABIL\Downloads\"/>
    </mc:Choice>
  </mc:AlternateContent>
  <xr:revisionPtr revIDLastSave="0" documentId="13_ncr:1_{CEC9490C-E7F5-4A20-A575-2FEAC52996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P Roster" sheetId="1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Q25" i="13" l="1"/>
  <c r="AS22" i="13"/>
  <c r="AS23" i="13"/>
  <c r="AS24" i="13"/>
  <c r="AE25" i="13"/>
  <c r="AF25" i="13"/>
  <c r="AG25" i="13"/>
  <c r="AI25" i="13"/>
  <c r="AJ25" i="13"/>
  <c r="AK25" i="13"/>
  <c r="AL25" i="13"/>
  <c r="AM25" i="13"/>
  <c r="AN25" i="13"/>
  <c r="AO25" i="13"/>
  <c r="AP25" i="13"/>
  <c r="P22" i="13"/>
  <c r="Q22" i="13"/>
  <c r="R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AJ22" i="13"/>
  <c r="AK22" i="13"/>
  <c r="AL22" i="13"/>
  <c r="AM22" i="13"/>
  <c r="AN22" i="13"/>
  <c r="AO22" i="13"/>
  <c r="AP22" i="13"/>
  <c r="AQ22" i="13"/>
  <c r="AR22" i="13"/>
  <c r="AG23" i="13"/>
  <c r="AH23" i="13"/>
  <c r="AI23" i="13"/>
  <c r="AJ23" i="13"/>
  <c r="AK23" i="13"/>
  <c r="AL23" i="13"/>
  <c r="AM23" i="13"/>
  <c r="AN23" i="13"/>
  <c r="AO23" i="13"/>
  <c r="AP23" i="13"/>
  <c r="AQ23" i="13"/>
  <c r="AR23" i="13"/>
  <c r="AG24" i="13"/>
  <c r="AH24" i="13"/>
  <c r="AI24" i="13"/>
  <c r="AJ24" i="13"/>
  <c r="AK24" i="13"/>
  <c r="AL24" i="13"/>
  <c r="AM24" i="13"/>
  <c r="AN24" i="13"/>
  <c r="AO24" i="13"/>
  <c r="AP24" i="13"/>
  <c r="AQ24" i="13"/>
  <c r="AR24" i="13"/>
  <c r="O22" i="13"/>
  <c r="AF21" i="13" l="1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F21" i="13"/>
  <c r="E21" i="13"/>
  <c r="D21" i="13"/>
  <c r="C21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F20" i="13"/>
  <c r="E20" i="13"/>
  <c r="D20" i="13"/>
  <c r="C20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R18" i="13"/>
  <c r="Q18" i="13"/>
  <c r="P18" i="13"/>
  <c r="O18" i="13"/>
  <c r="N18" i="13"/>
  <c r="M18" i="13"/>
  <c r="K18" i="13"/>
  <c r="G18" i="13"/>
  <c r="F18" i="13"/>
  <c r="D18" i="13"/>
  <c r="C18" i="13"/>
  <c r="R25" i="13" l="1"/>
  <c r="T24" i="13"/>
  <c r="T23" i="13"/>
  <c r="V23" i="13"/>
  <c r="T25" i="13"/>
  <c r="V24" i="13"/>
  <c r="W23" i="13"/>
  <c r="U25" i="13"/>
  <c r="W24" i="13"/>
  <c r="W25" i="13"/>
  <c r="Y24" i="13"/>
  <c r="Y23" i="13"/>
  <c r="Q23" i="13"/>
  <c r="O25" i="13"/>
  <c r="Q24" i="13"/>
  <c r="R23" i="13"/>
  <c r="R24" i="13"/>
  <c r="P25" i="13"/>
  <c r="AC24" i="13"/>
  <c r="AA25" i="13"/>
  <c r="AC23" i="13"/>
  <c r="AD23" i="13"/>
  <c r="AB25" i="13"/>
  <c r="AD24" i="13"/>
  <c r="AD25" i="13"/>
  <c r="AF24" i="13"/>
  <c r="AF23" i="13"/>
  <c r="S25" i="13"/>
  <c r="U24" i="13"/>
  <c r="U23" i="13"/>
  <c r="AE24" i="13"/>
  <c r="AC25" i="13"/>
  <c r="AE23" i="13"/>
  <c r="S24" i="13"/>
  <c r="Q25" i="13"/>
  <c r="S23" i="13"/>
  <c r="X25" i="13"/>
  <c r="Z24" i="13"/>
  <c r="Z23" i="13"/>
  <c r="AB23" i="13"/>
  <c r="Z25" i="13"/>
  <c r="AB24" i="13"/>
  <c r="X24" i="13"/>
  <c r="X23" i="13"/>
  <c r="V25" i="13"/>
  <c r="P24" i="13"/>
  <c r="P23" i="13"/>
  <c r="AA24" i="13"/>
  <c r="Y25" i="13"/>
  <c r="AA23" i="13"/>
  <c r="E23" i="13"/>
  <c r="E22" i="13"/>
  <c r="E25" i="13"/>
  <c r="E24" i="13"/>
  <c r="C25" i="13"/>
  <c r="C23" i="13"/>
  <c r="C22" i="13"/>
  <c r="C24" i="13"/>
  <c r="D23" i="13"/>
  <c r="D25" i="13"/>
  <c r="D24" i="13"/>
  <c r="D22" i="13"/>
  <c r="H23" i="13"/>
  <c r="H25" i="13"/>
  <c r="H22" i="13"/>
  <c r="H24" i="13"/>
  <c r="F23" i="13"/>
  <c r="F25" i="13"/>
  <c r="F22" i="13"/>
  <c r="F24" i="13"/>
  <c r="I25" i="13"/>
  <c r="I24" i="13"/>
  <c r="I23" i="13"/>
  <c r="I22" i="13"/>
  <c r="G23" i="13"/>
  <c r="G25" i="13"/>
  <c r="G24" i="13"/>
  <c r="G22" i="13"/>
  <c r="J25" i="13"/>
  <c r="J22" i="13"/>
  <c r="J23" i="13"/>
  <c r="J24" i="13"/>
  <c r="K25" i="13"/>
  <c r="K22" i="13"/>
  <c r="K23" i="13"/>
  <c r="K24" i="13"/>
  <c r="M25" i="13"/>
  <c r="M22" i="13"/>
  <c r="M24" i="13"/>
  <c r="M23" i="13"/>
  <c r="L25" i="13"/>
  <c r="L24" i="13"/>
  <c r="L22" i="13"/>
  <c r="L23" i="13"/>
  <c r="N25" i="13"/>
  <c r="N22" i="13"/>
  <c r="N24" i="13"/>
  <c r="N23" i="13"/>
  <c r="O24" i="13"/>
  <c r="O23" i="13"/>
</calcChain>
</file>

<file path=xl/sharedStrings.xml><?xml version="1.0" encoding="utf-8"?>
<sst xmlns="http://schemas.openxmlformats.org/spreadsheetml/2006/main" count="675" uniqueCount="64">
  <si>
    <t>#</t>
  </si>
  <si>
    <t>Name</t>
  </si>
  <si>
    <t>Wed</t>
  </si>
  <si>
    <t>Thu</t>
  </si>
  <si>
    <t>Fri</t>
  </si>
  <si>
    <t>Sat</t>
  </si>
  <si>
    <t>Sun</t>
  </si>
  <si>
    <t>Mon</t>
  </si>
  <si>
    <t>Tue</t>
  </si>
  <si>
    <t>B</t>
  </si>
  <si>
    <t>OFF</t>
  </si>
  <si>
    <t>Moayad Yar</t>
  </si>
  <si>
    <t>E</t>
  </si>
  <si>
    <t>PH</t>
  </si>
  <si>
    <t>M</t>
  </si>
  <si>
    <t xml:space="preserve">Hatem Asim </t>
  </si>
  <si>
    <t>N</t>
  </si>
  <si>
    <t>Mostafa Nabil</t>
  </si>
  <si>
    <t>Saad Marwan</t>
  </si>
  <si>
    <t xml:space="preserve">ziyad al zahrani </t>
  </si>
  <si>
    <t>Suhaib  Midrad</t>
  </si>
  <si>
    <t>Morning Shift</t>
  </si>
  <si>
    <t>Evening Shift</t>
  </si>
  <si>
    <t>Night Shift</t>
  </si>
  <si>
    <t xml:space="preserve">Between Shift </t>
  </si>
  <si>
    <t>T</t>
  </si>
  <si>
    <t>Task Force (Al-Ula Project)</t>
  </si>
  <si>
    <t>V</t>
  </si>
  <si>
    <t xml:space="preserve">
Annual leave</t>
  </si>
  <si>
    <t>NH</t>
  </si>
  <si>
    <t>National Day Holiday</t>
  </si>
  <si>
    <t>Public Holiday (Eid al-Adha)</t>
  </si>
  <si>
    <t>Z</t>
  </si>
  <si>
    <t xml:space="preserve">Pending Off (Actual) </t>
  </si>
  <si>
    <t>X</t>
  </si>
  <si>
    <t xml:space="preserve">Pending Off (Taken) </t>
  </si>
  <si>
    <t>U</t>
  </si>
  <si>
    <t>UNPAID Vacation</t>
  </si>
  <si>
    <t>Day OFF</t>
  </si>
  <si>
    <t>S</t>
  </si>
  <si>
    <t>SickLeave</t>
  </si>
  <si>
    <t>DL</t>
  </si>
  <si>
    <t xml:space="preserve">Death Leave </t>
  </si>
  <si>
    <t>EX</t>
  </si>
  <si>
    <t>Exam Leave</t>
  </si>
  <si>
    <t>PL</t>
  </si>
  <si>
    <t>Permission Leave</t>
  </si>
  <si>
    <t xml:space="preserve">Traning </t>
  </si>
  <si>
    <t>C</t>
  </si>
  <si>
    <t>Child Leave (3 Days)</t>
  </si>
  <si>
    <t>Haitham Sendi</t>
  </si>
  <si>
    <t>Yasser Mattiri</t>
  </si>
  <si>
    <t>Abdulmajed Othman</t>
  </si>
  <si>
    <t>Meshari Alharithi</t>
  </si>
  <si>
    <t xml:space="preserve"> </t>
  </si>
  <si>
    <t>Salem Seif</t>
  </si>
  <si>
    <t>M-z</t>
  </si>
  <si>
    <t xml:space="preserve">  Islam Hassan</t>
  </si>
  <si>
    <t>Sultan Kassar</t>
  </si>
  <si>
    <t>Abdulrhman Alamoudi</t>
  </si>
  <si>
    <t>N-Z</t>
  </si>
  <si>
    <t>OFF-X</t>
  </si>
  <si>
    <t>M-T</t>
  </si>
  <si>
    <t>OFF-x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</si>
</sst>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0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sz val="9"/>
      <color theme="1"/>
      <name val="Calibri"/>
      <family val="2"/>
      <scheme val="minor"/>
    </font>
    <font>
      <b/>
      <sz val="9"/>
      <color theme="3"/>
      <name val="Times New Roman"/>
      <family val="1"/>
    </font>
    <font>
      <b/>
      <sz val="9"/>
      <color rgb="FF9C0006"/>
      <name val="Times New Roman"/>
      <family val="1"/>
    </font>
    <font>
      <b/>
      <sz val="9"/>
      <color rgb="FF006100"/>
      <name val="Times New Roman"/>
      <family val="1"/>
    </font>
    <font>
      <b/>
      <sz val="11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7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30A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1" borderId="0" applyNumberFormat="0" applyBorder="0" applyAlignment="0" applyProtection="0"/>
    <xf numFmtId="0" fontId="4" fillId="6" borderId="0" applyNumberFormat="0" applyBorder="0" applyAlignment="0" applyProtection="0"/>
    <xf numFmtId="0" fontId="3" fillId="3" borderId="0" applyNumberFormat="0" applyBorder="0" applyAlignment="0" applyProtection="0"/>
    <xf numFmtId="0" fontId="2" fillId="2" borderId="0" applyNumberFormat="0" applyBorder="0" applyAlignment="0" applyProtection="0"/>
  </cellStyleXfs>
  <cellXfs count="48">
    <xf numFmtId="0" fontId="0" fillId="0" borderId="0" xfId="0"/>
    <xf numFmtId="0" fontId="9" fillId="0" borderId="0" xfId="0" applyFont="1" applyAlignment="1">
      <alignment horizontal="center"/>
    </xf>
    <xf numFmtId="0" fontId="7" fillId="18" borderId="19" xfId="5" applyFont="1" applyFill="1" applyBorder="1" applyAlignment="1">
      <alignment horizontal="center" vertical="center"/>
    </xf>
    <xf numFmtId="0" fontId="0" fillId="0" borderId="0" xfId="0"/>
    <xf numFmtId="0" fontId="5" fillId="4" borderId="1" xfId="1" applyFont="1" applyBorder="1" applyAlignment="1">
      <alignment horizontal="center" vertical="center"/>
    </xf>
    <xf numFmtId="16" fontId="5" fillId="4" borderId="1" xfId="1" applyNumberFormat="1" applyFont="1" applyBorder="1" applyAlignment="1">
      <alignment horizontal="center" vertical="center"/>
    </xf>
    <xf numFmtId="0" fontId="6" fillId="12" borderId="1" xfId="4" applyFont="1" applyFill="1" applyBorder="1" applyAlignment="1">
      <alignment horizontal="center" vertical="center"/>
    </xf>
    <xf numFmtId="0" fontId="7" fillId="13" borderId="3" xfId="5" applyFont="1" applyFill="1" applyBorder="1" applyAlignment="1">
      <alignment horizontal="center" vertical="center"/>
    </xf>
    <xf numFmtId="0" fontId="6" fillId="14" borderId="4" xfId="3" applyFont="1" applyFill="1" applyBorder="1" applyAlignment="1">
      <alignment horizontal="center" vertical="center"/>
    </xf>
    <xf numFmtId="0" fontId="6" fillId="15" borderId="5" xfId="6" applyFont="1" applyFill="1" applyBorder="1" applyAlignment="1">
      <alignment horizontal="center" vertical="center"/>
    </xf>
    <xf numFmtId="0" fontId="6" fillId="18" borderId="7" xfId="4" applyFont="1" applyFill="1" applyBorder="1" applyAlignment="1">
      <alignment horizontal="center" vertical="center" textRotation="90"/>
    </xf>
    <xf numFmtId="0" fontId="10" fillId="0" borderId="10" xfId="6" applyFont="1" applyFill="1" applyBorder="1" applyAlignment="1">
      <alignment horizontal="center" vertical="center"/>
    </xf>
    <xf numFmtId="0" fontId="8" fillId="18" borderId="10" xfId="0" applyFont="1" applyFill="1" applyBorder="1" applyAlignment="1">
      <alignment horizontal="center" vertical="center"/>
    </xf>
    <xf numFmtId="0" fontId="7" fillId="11" borderId="3" xfId="7" applyFont="1" applyBorder="1" applyAlignment="1">
      <alignment horizontal="center" vertical="center"/>
    </xf>
    <xf numFmtId="0" fontId="7" fillId="20" borderId="3" xfId="7" applyFont="1" applyFill="1" applyBorder="1" applyAlignment="1">
      <alignment horizontal="center" vertical="center"/>
    </xf>
    <xf numFmtId="0" fontId="8" fillId="21" borderId="3" xfId="8" applyFont="1" applyFill="1" applyBorder="1" applyAlignment="1">
      <alignment horizontal="center" vertical="center"/>
    </xf>
    <xf numFmtId="0" fontId="11" fillId="3" borderId="3" xfId="9" applyFont="1" applyBorder="1" applyAlignment="1">
      <alignment horizontal="center" vertical="center"/>
    </xf>
    <xf numFmtId="0" fontId="12" fillId="2" borderId="3" xfId="10" applyFont="1" applyBorder="1" applyAlignment="1">
      <alignment horizontal="center" vertical="center"/>
    </xf>
    <xf numFmtId="0" fontId="7" fillId="22" borderId="3" xfId="0" applyFont="1" applyFill="1" applyBorder="1" applyAlignment="1">
      <alignment horizontal="center" vertical="center"/>
    </xf>
    <xf numFmtId="0" fontId="7" fillId="23" borderId="11" xfId="0" applyFont="1" applyFill="1" applyBorder="1" applyAlignment="1">
      <alignment horizontal="center" vertical="center"/>
    </xf>
    <xf numFmtId="0" fontId="6" fillId="16" borderId="12" xfId="0" applyFont="1" applyFill="1" applyBorder="1" applyAlignment="1">
      <alignment horizontal="center" vertical="center"/>
    </xf>
    <xf numFmtId="0" fontId="7" fillId="24" borderId="5" xfId="0" applyFont="1" applyFill="1" applyBorder="1" applyAlignment="1">
      <alignment horizontal="center" vertical="center"/>
    </xf>
    <xf numFmtId="0" fontId="7" fillId="25" borderId="5" xfId="0" applyFont="1" applyFill="1" applyBorder="1" applyAlignment="1">
      <alignment horizontal="center" vertical="center"/>
    </xf>
    <xf numFmtId="0" fontId="7" fillId="26" borderId="1" xfId="4" applyFont="1" applyFill="1" applyBorder="1" applyAlignment="1">
      <alignment horizontal="center" vertical="center"/>
    </xf>
    <xf numFmtId="0" fontId="6" fillId="27" borderId="5" xfId="0" applyFont="1" applyFill="1" applyBorder="1" applyAlignment="1">
      <alignment horizontal="center" vertical="center"/>
    </xf>
    <xf numFmtId="0" fontId="6" fillId="16" borderId="1" xfId="4" applyFont="1" applyFill="1" applyBorder="1" applyAlignment="1">
      <alignment horizontal="center" vertical="center"/>
    </xf>
    <xf numFmtId="0" fontId="5" fillId="4" borderId="0" xfId="1" applyFont="1" applyBorder="1" applyAlignment="1">
      <alignment vertical="center"/>
    </xf>
    <xf numFmtId="0" fontId="5" fillId="4" borderId="2" xfId="1" applyFont="1" applyBorder="1" applyAlignment="1">
      <alignment horizontal="center" vertical="center"/>
    </xf>
    <xf numFmtId="0" fontId="5" fillId="5" borderId="1" xfId="2" applyFont="1" applyBorder="1" applyAlignment="1">
      <alignment horizontal="center" vertical="center"/>
    </xf>
    <xf numFmtId="0" fontId="7" fillId="17" borderId="1" xfId="4" applyFont="1" applyFill="1" applyBorder="1" applyAlignment="1">
      <alignment horizontal="center" vertical="center"/>
    </xf>
    <xf numFmtId="0" fontId="7" fillId="25" borderId="1" xfId="4" applyFont="1" applyFill="1" applyBorder="1" applyAlignment="1">
      <alignment horizontal="center" vertical="center"/>
    </xf>
    <xf numFmtId="0" fontId="6" fillId="18" borderId="17" xfId="4" applyFont="1" applyFill="1" applyBorder="1" applyAlignment="1">
      <alignment horizontal="center" vertical="center" textRotation="90"/>
    </xf>
    <xf numFmtId="0" fontId="6" fillId="12" borderId="6" xfId="4" applyFont="1" applyFill="1" applyBorder="1" applyAlignment="1">
      <alignment horizontal="center" vertical="center"/>
    </xf>
    <xf numFmtId="0" fontId="6" fillId="15" borderId="1" xfId="4" applyFont="1" applyFill="1" applyBorder="1" applyAlignment="1">
      <alignment horizontal="center" vertical="center"/>
    </xf>
    <xf numFmtId="0" fontId="6" fillId="18" borderId="0" xfId="4" applyFont="1" applyFill="1" applyBorder="1" applyAlignment="1">
      <alignment horizontal="center" vertical="center" textRotation="90"/>
    </xf>
    <xf numFmtId="0" fontId="7" fillId="17" borderId="18" xfId="4" applyFont="1" applyFill="1" applyBorder="1" applyAlignment="1">
      <alignment horizontal="center" vertical="center"/>
    </xf>
    <xf numFmtId="0" fontId="6" fillId="16" borderId="8" xfId="4" applyFont="1" applyFill="1" applyBorder="1" applyAlignment="1">
      <alignment horizontal="center" vertical="center"/>
    </xf>
    <xf numFmtId="0" fontId="6" fillId="16" borderId="9" xfId="6" applyFont="1" applyFill="1" applyBorder="1" applyAlignment="1">
      <alignment horizontal="center" vertical="center"/>
    </xf>
    <xf numFmtId="0" fontId="13" fillId="5" borderId="1" xfId="2" applyFont="1" applyBorder="1" applyAlignment="1">
      <alignment horizontal="center" vertical="center"/>
    </xf>
    <xf numFmtId="0" fontId="6" fillId="16" borderId="20" xfId="6" applyFont="1" applyFill="1" applyBorder="1" applyAlignment="1">
      <alignment horizontal="center" vertical="center"/>
    </xf>
    <xf numFmtId="0" fontId="8" fillId="18" borderId="21" xfId="0" applyFont="1" applyFill="1" applyBorder="1" applyAlignment="1">
      <alignment horizontal="center" vertical="center"/>
    </xf>
    <xf numFmtId="0" fontId="6" fillId="12" borderId="15" xfId="4" applyFont="1" applyFill="1" applyBorder="1" applyAlignment="1">
      <alignment horizontal="center" vertical="center"/>
    </xf>
    <xf numFmtId="0" fontId="8" fillId="19" borderId="22" xfId="0" applyFont="1" applyFill="1" applyBorder="1" applyAlignment="1">
      <alignment horizontal="center" vertical="center"/>
    </xf>
    <xf numFmtId="0" fontId="7" fillId="17" borderId="16" xfId="4" applyFont="1" applyFill="1" applyBorder="1" applyAlignment="1">
      <alignment horizontal="center" vertical="center"/>
    </xf>
    <xf numFmtId="0" fontId="8" fillId="18" borderId="23" xfId="0" applyFont="1" applyFill="1" applyBorder="1" applyAlignment="1">
      <alignment horizontal="center" vertical="center"/>
    </xf>
    <xf numFmtId="0" fontId="5" fillId="4" borderId="13" xfId="1" applyFont="1" applyBorder="1" applyAlignment="1">
      <alignment horizontal="center" vertical="center"/>
    </xf>
    <xf numFmtId="0" fontId="5" fillId="4" borderId="17" xfId="1" applyFont="1" applyBorder="1" applyAlignment="1">
      <alignment horizontal="center" vertical="center"/>
    </xf>
    <xf numFmtId="0" fontId="5" fillId="4" borderId="14" xfId="1" applyFont="1" applyBorder="1" applyAlignment="1">
      <alignment horizontal="center" vertical="center"/>
    </xf>
  </cellXfs>
  <cellStyles count="11">
    <cellStyle name="20% - Accent1" xfId="1" builtinId="30"/>
    <cellStyle name="40% - Accent1" xfId="2" builtinId="31"/>
    <cellStyle name="40% - Accent2" xfId="3" builtinId="35"/>
    <cellStyle name="Accent2 2" xfId="8" xr:uid="{00000000-0005-0000-0000-000003000000}"/>
    <cellStyle name="Accent3 2" xfId="5" xr:uid="{00000000-0005-0000-0000-000004000000}"/>
    <cellStyle name="Accent4 2" xfId="6" xr:uid="{00000000-0005-0000-0000-000005000000}"/>
    <cellStyle name="Accent5 2" xfId="4" xr:uid="{00000000-0005-0000-0000-000006000000}"/>
    <cellStyle name="Accent6 2" xfId="7" xr:uid="{00000000-0005-0000-0000-000007000000}"/>
    <cellStyle name="Bad 2" xfId="9" xr:uid="{00000000-0005-0000-0000-000008000000}"/>
    <cellStyle name="Good 2" xfId="10" xr:uid="{00000000-0005-0000-0000-000009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0D1A0-3310-46FE-9BA7-01CEC6ECCB96}">
  <sheetPr>
    <pageSetUpPr fitToPage="1"/>
  </sheetPr>
  <dimension ref="A1:AS44"/>
  <sheetViews>
    <sheetView tabSelected="1" zoomScale="85" zoomScaleNormal="85" workbookViewId="0">
      <pane xSplit="14" topLeftCell="O1" activePane="topRight" state="frozen"/>
      <selection pane="topRight" activeCell="S30" sqref="S30"/>
    </sheetView>
  </sheetViews>
  <sheetFormatPr defaultRowHeight="15" x14ac:dyDescent="0.25"/>
  <cols>
    <col min="1" max="1" width="9.140625" style="3"/>
    <col min="2" max="2" width="28.140625" style="3" customWidth="1"/>
    <col min="3" max="3" width="11.5703125" style="3" hidden="1" customWidth="1"/>
    <col min="4" max="4" width="13.85546875" style="3" hidden="1" customWidth="1"/>
    <col min="5" max="14" width="12.7109375" style="3" hidden="1" customWidth="1"/>
    <col min="15" max="45" width="12.7109375" style="3" customWidth="1"/>
    <col min="46" max="16384" width="9.140625" style="3"/>
  </cols>
  <sheetData>
    <row r="1" spans="1:45" ht="15" customHeight="1" x14ac:dyDescent="0.25">
      <c r="A1" s="4" t="s">
        <v>0</v>
      </c>
      <c r="B1" s="27" t="s">
        <v>1</v>
      </c>
      <c r="C1" s="5">
        <v>45766</v>
      </c>
      <c r="D1" s="5">
        <v>45767</v>
      </c>
      <c r="E1" s="5">
        <v>45768</v>
      </c>
      <c r="F1" s="5">
        <v>45769</v>
      </c>
      <c r="G1" s="5">
        <v>45770</v>
      </c>
      <c r="H1" s="5">
        <v>45771</v>
      </c>
      <c r="I1" s="5">
        <v>45772</v>
      </c>
      <c r="J1" s="5">
        <v>45773</v>
      </c>
      <c r="K1" s="5">
        <v>45774</v>
      </c>
      <c r="L1" s="5">
        <v>45775</v>
      </c>
      <c r="M1" s="5">
        <v>45776</v>
      </c>
      <c r="N1" s="5">
        <v>45777</v>
      </c>
      <c r="O1" s="5">
        <v>45888</v>
      </c>
      <c r="P1" s="5">
        <v>45889</v>
      </c>
      <c r="Q1" s="5">
        <v>45890</v>
      </c>
      <c r="R1" s="5">
        <v>45891</v>
      </c>
      <c r="S1" s="5">
        <v>45892</v>
      </c>
      <c r="T1" s="5">
        <v>45893</v>
      </c>
      <c r="U1" s="5">
        <v>45894</v>
      </c>
      <c r="V1" s="5">
        <v>45895</v>
      </c>
      <c r="W1" s="5">
        <v>45896</v>
      </c>
      <c r="X1" s="5">
        <v>45897</v>
      </c>
      <c r="Y1" s="5">
        <v>45898</v>
      </c>
      <c r="Z1" s="5">
        <v>45899</v>
      </c>
      <c r="AA1" s="5">
        <v>45900</v>
      </c>
      <c r="AB1" s="5">
        <v>45901</v>
      </c>
      <c r="AC1" s="5">
        <v>45902</v>
      </c>
      <c r="AD1" s="5">
        <v>45903</v>
      </c>
      <c r="AE1" s="5">
        <v>45904</v>
      </c>
      <c r="AF1" s="5">
        <v>45905</v>
      </c>
      <c r="AG1" s="5">
        <v>45906</v>
      </c>
      <c r="AH1" s="5">
        <v>45907</v>
      </c>
      <c r="AI1" s="5">
        <v>45908</v>
      </c>
      <c r="AJ1" s="5">
        <v>45909</v>
      </c>
      <c r="AK1" s="5">
        <v>45910</v>
      </c>
      <c r="AL1" s="5">
        <v>45911</v>
      </c>
      <c r="AM1" s="5">
        <v>45912</v>
      </c>
      <c r="AN1" s="5">
        <v>45913</v>
      </c>
      <c r="AO1" s="5">
        <v>45914</v>
      </c>
      <c r="AP1" s="5">
        <v>45915</v>
      </c>
      <c r="AQ1" s="5">
        <v>45916</v>
      </c>
      <c r="AR1" s="5">
        <v>45917</v>
      </c>
      <c r="AS1" s="5">
        <v>45918</v>
      </c>
    </row>
    <row r="2" spans="1:45" ht="15" customHeight="1" x14ac:dyDescent="0.25">
      <c r="A2" s="45"/>
      <c r="B2" s="46"/>
      <c r="C2" s="28" t="s">
        <v>6</v>
      </c>
      <c r="D2" s="28" t="s">
        <v>7</v>
      </c>
      <c r="E2" s="28" t="s">
        <v>8</v>
      </c>
      <c r="F2" s="28" t="s">
        <v>2</v>
      </c>
      <c r="G2" s="28" t="s">
        <v>3</v>
      </c>
      <c r="H2" s="28" t="s">
        <v>4</v>
      </c>
      <c r="I2" s="28" t="s">
        <v>5</v>
      </c>
      <c r="J2" s="28" t="s">
        <v>6</v>
      </c>
      <c r="K2" s="28" t="s">
        <v>7</v>
      </c>
      <c r="L2" s="28" t="s">
        <v>8</v>
      </c>
      <c r="M2" s="28" t="s">
        <v>2</v>
      </c>
      <c r="N2" s="28" t="s">
        <v>3</v>
      </c>
      <c r="O2" s="28" t="s">
        <v>2</v>
      </c>
      <c r="P2" s="28" t="s">
        <v>3</v>
      </c>
      <c r="Q2" s="28" t="s">
        <v>4</v>
      </c>
      <c r="R2" s="28" t="s">
        <v>5</v>
      </c>
      <c r="S2" s="28" t="s">
        <v>6</v>
      </c>
      <c r="T2" s="28" t="s">
        <v>7</v>
      </c>
      <c r="U2" s="28" t="s">
        <v>8</v>
      </c>
      <c r="V2" s="28" t="s">
        <v>2</v>
      </c>
      <c r="W2" s="28" t="s">
        <v>3</v>
      </c>
      <c r="X2" s="28" t="s">
        <v>4</v>
      </c>
      <c r="Y2" s="28" t="s">
        <v>5</v>
      </c>
      <c r="Z2" s="28" t="s">
        <v>6</v>
      </c>
      <c r="AA2" s="28" t="s">
        <v>7</v>
      </c>
      <c r="AB2" s="28" t="s">
        <v>8</v>
      </c>
      <c r="AC2" s="28" t="s">
        <v>2</v>
      </c>
      <c r="AD2" s="28" t="s">
        <v>3</v>
      </c>
      <c r="AE2" s="28" t="s">
        <v>4</v>
      </c>
      <c r="AF2" s="28" t="s">
        <v>5</v>
      </c>
      <c r="AG2" s="28" t="s">
        <v>6</v>
      </c>
      <c r="AH2" s="28" t="s">
        <v>7</v>
      </c>
      <c r="AI2" s="28" t="s">
        <v>8</v>
      </c>
      <c r="AJ2" s="28" t="s">
        <v>2</v>
      </c>
      <c r="AK2" s="28" t="s">
        <v>3</v>
      </c>
      <c r="AL2" s="28" t="s">
        <v>4</v>
      </c>
      <c r="AM2" s="28" t="s">
        <v>5</v>
      </c>
      <c r="AN2" s="28" t="s">
        <v>6</v>
      </c>
      <c r="AO2" s="28" t="s">
        <v>7</v>
      </c>
      <c r="AP2" s="28" t="s">
        <v>8</v>
      </c>
      <c r="AQ2" s="28" t="s">
        <v>2</v>
      </c>
      <c r="AR2" s="28" t="s">
        <v>3</v>
      </c>
      <c r="AS2" s="28" t="s">
        <v>4</v>
      </c>
    </row>
    <row r="3" spans="1:45" ht="15" customHeight="1" x14ac:dyDescent="0.25">
      <c r="A3" s="28">
        <v>1</v>
      </c>
      <c r="B3" s="38" t="s">
        <v>55</v>
      </c>
      <c r="C3" s="30" t="s">
        <v>27</v>
      </c>
      <c r="D3" s="30" t="s">
        <v>27</v>
      </c>
      <c r="E3" s="30" t="s">
        <v>27</v>
      </c>
      <c r="F3" s="30" t="s">
        <v>27</v>
      </c>
      <c r="G3" s="30" t="s">
        <v>27</v>
      </c>
      <c r="H3" s="30" t="s">
        <v>27</v>
      </c>
      <c r="I3" s="30" t="s">
        <v>27</v>
      </c>
      <c r="J3" s="30" t="s">
        <v>27</v>
      </c>
      <c r="K3" s="30" t="s">
        <v>27</v>
      </c>
      <c r="L3" s="30" t="s">
        <v>27</v>
      </c>
      <c r="M3" s="30" t="s">
        <v>27</v>
      </c>
      <c r="N3" s="30" t="s">
        <v>27</v>
      </c>
      <c r="O3" s="6" t="s">
        <v>14</v>
      </c>
      <c r="P3" s="6" t="s">
        <v>14</v>
      </c>
      <c r="Q3" s="6" t="s">
        <v>14</v>
      </c>
      <c r="R3" s="6" t="s">
        <v>14</v>
      </c>
      <c r="S3" s="2" t="s">
        <v>10</v>
      </c>
      <c r="T3" s="6" t="s">
        <v>14</v>
      </c>
      <c r="U3" s="6" t="s">
        <v>14</v>
      </c>
      <c r="V3" s="6" t="s">
        <v>14</v>
      </c>
      <c r="W3" s="6" t="s">
        <v>14</v>
      </c>
      <c r="X3" s="6" t="s">
        <v>14</v>
      </c>
      <c r="Y3" s="6" t="s">
        <v>14</v>
      </c>
      <c r="Z3" s="2" t="s">
        <v>10</v>
      </c>
      <c r="AA3" s="6" t="s">
        <v>14</v>
      </c>
      <c r="AB3" s="6" t="s">
        <v>14</v>
      </c>
      <c r="AC3" s="6" t="s">
        <v>14</v>
      </c>
      <c r="AD3" s="6" t="s">
        <v>14</v>
      </c>
      <c r="AE3" s="6" t="s">
        <v>14</v>
      </c>
      <c r="AF3" s="6" t="s">
        <v>14</v>
      </c>
      <c r="AG3" s="2" t="s">
        <v>10</v>
      </c>
      <c r="AH3" s="6" t="s">
        <v>14</v>
      </c>
      <c r="AI3" s="6" t="s">
        <v>14</v>
      </c>
      <c r="AJ3" s="6" t="s">
        <v>14</v>
      </c>
      <c r="AK3" s="6" t="s">
        <v>14</v>
      </c>
      <c r="AL3" s="6" t="s">
        <v>14</v>
      </c>
      <c r="AM3" s="6" t="s">
        <v>14</v>
      </c>
      <c r="AN3" s="2" t="s">
        <v>10</v>
      </c>
      <c r="AO3" s="6" t="s">
        <v>14</v>
      </c>
      <c r="AP3" s="6" t="s">
        <v>14</v>
      </c>
      <c r="AQ3" s="6" t="s">
        <v>14</v>
      </c>
      <c r="AR3" s="6" t="s">
        <v>14</v>
      </c>
      <c r="AS3" s="6" t="s">
        <v>14</v>
      </c>
    </row>
    <row r="4" spans="1:45" ht="15" customHeight="1" thickBot="1" x14ac:dyDescent="0.3">
      <c r="A4" s="28">
        <v>2</v>
      </c>
      <c r="B4" s="38" t="s">
        <v>59</v>
      </c>
      <c r="C4" s="30" t="s">
        <v>27</v>
      </c>
      <c r="D4" s="30" t="s">
        <v>27</v>
      </c>
      <c r="E4" s="2" t="s">
        <v>10</v>
      </c>
      <c r="F4" s="2" t="s">
        <v>10</v>
      </c>
      <c r="G4" s="6" t="s">
        <v>14</v>
      </c>
      <c r="H4" s="6" t="s">
        <v>14</v>
      </c>
      <c r="I4" s="6" t="s">
        <v>14</v>
      </c>
      <c r="J4" s="6" t="s">
        <v>14</v>
      </c>
      <c r="K4" s="6" t="s">
        <v>14</v>
      </c>
      <c r="L4" s="6" t="s">
        <v>56</v>
      </c>
      <c r="M4" s="6" t="s">
        <v>56</v>
      </c>
      <c r="N4" s="6" t="s">
        <v>14</v>
      </c>
      <c r="O4" s="6" t="s">
        <v>14</v>
      </c>
      <c r="P4" s="6" t="s">
        <v>14</v>
      </c>
      <c r="Q4" s="2" t="s">
        <v>10</v>
      </c>
      <c r="R4" s="2" t="s">
        <v>10</v>
      </c>
      <c r="S4" s="6" t="s">
        <v>14</v>
      </c>
      <c r="T4" s="6" t="s">
        <v>14</v>
      </c>
      <c r="U4" s="6" t="s">
        <v>14</v>
      </c>
      <c r="V4" s="6" t="s">
        <v>14</v>
      </c>
      <c r="W4" s="6" t="s">
        <v>14</v>
      </c>
      <c r="X4" s="2" t="s">
        <v>10</v>
      </c>
      <c r="Y4" s="2" t="s">
        <v>10</v>
      </c>
      <c r="Z4" s="6" t="s">
        <v>14</v>
      </c>
      <c r="AA4" s="6" t="s">
        <v>14</v>
      </c>
      <c r="AB4" s="6" t="s">
        <v>14</v>
      </c>
      <c r="AC4" s="6" t="s">
        <v>14</v>
      </c>
      <c r="AD4" s="6" t="s">
        <v>14</v>
      </c>
      <c r="AE4" s="2" t="s">
        <v>10</v>
      </c>
      <c r="AF4" s="2" t="s">
        <v>10</v>
      </c>
      <c r="AG4" s="6" t="s">
        <v>14</v>
      </c>
      <c r="AH4" s="6" t="s">
        <v>14</v>
      </c>
      <c r="AI4" s="6" t="s">
        <v>14</v>
      </c>
      <c r="AJ4" s="6" t="s">
        <v>14</v>
      </c>
      <c r="AK4" s="6" t="s">
        <v>14</v>
      </c>
      <c r="AL4" s="2" t="s">
        <v>10</v>
      </c>
      <c r="AM4" s="2" t="s">
        <v>10</v>
      </c>
      <c r="AN4" s="6" t="s">
        <v>14</v>
      </c>
      <c r="AO4" s="6" t="s">
        <v>14</v>
      </c>
      <c r="AP4" s="6" t="s">
        <v>14</v>
      </c>
      <c r="AQ4" s="6" t="s">
        <v>14</v>
      </c>
      <c r="AR4" s="6" t="s">
        <v>14</v>
      </c>
      <c r="AS4" s="2" t="s">
        <v>10</v>
      </c>
    </row>
    <row r="5" spans="1:45" ht="15" customHeight="1" thickBot="1" x14ac:dyDescent="0.3">
      <c r="A5" s="28">
        <v>3</v>
      </c>
      <c r="B5" s="38" t="s">
        <v>52</v>
      </c>
      <c r="C5" s="6" t="s">
        <v>14</v>
      </c>
      <c r="D5" s="6" t="s">
        <v>14</v>
      </c>
      <c r="E5" s="6" t="s">
        <v>14</v>
      </c>
      <c r="F5" s="6" t="s">
        <v>14</v>
      </c>
      <c r="G5" s="2" t="s">
        <v>10</v>
      </c>
      <c r="H5" s="2" t="s">
        <v>10</v>
      </c>
      <c r="I5" s="6" t="s">
        <v>14</v>
      </c>
      <c r="J5" s="25" t="s">
        <v>16</v>
      </c>
      <c r="K5" s="25" t="s">
        <v>16</v>
      </c>
      <c r="L5" s="25" t="s">
        <v>16</v>
      </c>
      <c r="M5" s="25" t="s">
        <v>16</v>
      </c>
      <c r="N5" s="2" t="s">
        <v>10</v>
      </c>
      <c r="O5" s="2" t="s">
        <v>10</v>
      </c>
      <c r="P5" s="6" t="s">
        <v>56</v>
      </c>
      <c r="Q5" s="29" t="s">
        <v>12</v>
      </c>
      <c r="R5" s="29" t="s">
        <v>12</v>
      </c>
      <c r="S5" s="29" t="s">
        <v>12</v>
      </c>
      <c r="T5" s="29" t="s">
        <v>12</v>
      </c>
      <c r="U5" s="2" t="s">
        <v>10</v>
      </c>
      <c r="V5" s="2" t="s">
        <v>10</v>
      </c>
      <c r="W5" s="2" t="s">
        <v>63</v>
      </c>
      <c r="X5" s="25" t="s">
        <v>16</v>
      </c>
      <c r="Y5" s="25" t="s">
        <v>16</v>
      </c>
      <c r="Z5" s="25" t="s">
        <v>16</v>
      </c>
      <c r="AA5" s="25" t="s">
        <v>16</v>
      </c>
      <c r="AB5" s="2" t="s">
        <v>10</v>
      </c>
      <c r="AC5" s="2" t="s">
        <v>10</v>
      </c>
      <c r="AD5" s="9" t="s">
        <v>9</v>
      </c>
      <c r="AE5" s="29" t="s">
        <v>12</v>
      </c>
      <c r="AF5" s="29" t="s">
        <v>12</v>
      </c>
      <c r="AG5" s="29" t="s">
        <v>12</v>
      </c>
      <c r="AH5" s="29" t="s">
        <v>12</v>
      </c>
      <c r="AI5" s="2" t="s">
        <v>10</v>
      </c>
      <c r="AJ5" s="2" t="s">
        <v>10</v>
      </c>
      <c r="AK5" s="6" t="s">
        <v>14</v>
      </c>
      <c r="AL5" s="6" t="s">
        <v>14</v>
      </c>
      <c r="AM5" s="6" t="s">
        <v>14</v>
      </c>
      <c r="AN5" s="6" t="s">
        <v>14</v>
      </c>
      <c r="AO5" s="9" t="s">
        <v>9</v>
      </c>
      <c r="AP5" s="2" t="s">
        <v>10</v>
      </c>
      <c r="AQ5" s="2" t="s">
        <v>10</v>
      </c>
      <c r="AR5" s="6" t="s">
        <v>14</v>
      </c>
      <c r="AS5" s="6" t="s">
        <v>14</v>
      </c>
    </row>
    <row r="6" spans="1:45" ht="15" customHeight="1" thickBot="1" x14ac:dyDescent="0.3">
      <c r="A6" s="28">
        <v>4</v>
      </c>
      <c r="B6" s="38" t="s">
        <v>19</v>
      </c>
      <c r="C6" s="6" t="s">
        <v>14</v>
      </c>
      <c r="D6" s="6" t="s">
        <v>14</v>
      </c>
      <c r="E6" s="6" t="s">
        <v>14</v>
      </c>
      <c r="F6" s="6" t="s">
        <v>14</v>
      </c>
      <c r="G6" s="6" t="s">
        <v>14</v>
      </c>
      <c r="H6" s="2" t="s">
        <v>10</v>
      </c>
      <c r="I6" s="2" t="s">
        <v>10</v>
      </c>
      <c r="J6" s="6" t="s">
        <v>14</v>
      </c>
      <c r="K6" s="6" t="s">
        <v>14</v>
      </c>
      <c r="L6" s="6" t="s">
        <v>14</v>
      </c>
      <c r="M6" s="6" t="s">
        <v>14</v>
      </c>
      <c r="N6" s="6" t="s">
        <v>14</v>
      </c>
      <c r="O6" s="6" t="s">
        <v>14</v>
      </c>
      <c r="P6" s="6" t="s">
        <v>14</v>
      </c>
      <c r="Q6" s="2" t="s">
        <v>10</v>
      </c>
      <c r="R6" s="2" t="s">
        <v>10</v>
      </c>
      <c r="S6" s="6" t="s">
        <v>14</v>
      </c>
      <c r="T6" s="6" t="s">
        <v>14</v>
      </c>
      <c r="U6" s="6" t="s">
        <v>14</v>
      </c>
      <c r="V6" s="6" t="s">
        <v>14</v>
      </c>
      <c r="W6" s="6" t="s">
        <v>14</v>
      </c>
      <c r="X6" s="2" t="s">
        <v>10</v>
      </c>
      <c r="Y6" s="2" t="s">
        <v>10</v>
      </c>
      <c r="Z6" s="6" t="s">
        <v>14</v>
      </c>
      <c r="AA6" s="6" t="s">
        <v>14</v>
      </c>
      <c r="AB6" s="6" t="s">
        <v>14</v>
      </c>
      <c r="AC6" s="6" t="s">
        <v>14</v>
      </c>
      <c r="AD6" s="6" t="s">
        <v>14</v>
      </c>
      <c r="AE6" s="2" t="s">
        <v>10</v>
      </c>
      <c r="AF6" s="2" t="s">
        <v>10</v>
      </c>
      <c r="AG6" s="6" t="s">
        <v>14</v>
      </c>
      <c r="AH6" s="6" t="s">
        <v>14</v>
      </c>
      <c r="AI6" s="6" t="s">
        <v>14</v>
      </c>
      <c r="AJ6" s="6" t="s">
        <v>14</v>
      </c>
      <c r="AK6" s="6" t="s">
        <v>14</v>
      </c>
      <c r="AL6" s="2" t="s">
        <v>10</v>
      </c>
      <c r="AM6" s="2" t="s">
        <v>10</v>
      </c>
      <c r="AN6" s="6" t="s">
        <v>14</v>
      </c>
      <c r="AO6" s="6" t="s">
        <v>14</v>
      </c>
      <c r="AP6" s="6" t="s">
        <v>14</v>
      </c>
      <c r="AQ6" s="6" t="s">
        <v>14</v>
      </c>
      <c r="AR6" s="9" t="s">
        <v>9</v>
      </c>
      <c r="AS6" s="2" t="s">
        <v>10</v>
      </c>
    </row>
    <row r="7" spans="1:45" ht="15" customHeight="1" thickBot="1" x14ac:dyDescent="0.3">
      <c r="A7" s="28">
        <v>5</v>
      </c>
      <c r="B7" s="38" t="s">
        <v>15</v>
      </c>
      <c r="C7" s="29" t="s">
        <v>12</v>
      </c>
      <c r="D7" s="29" t="s">
        <v>12</v>
      </c>
      <c r="E7" s="2" t="s">
        <v>10</v>
      </c>
      <c r="F7" s="2" t="s">
        <v>10</v>
      </c>
      <c r="G7" s="9" t="s">
        <v>9</v>
      </c>
      <c r="H7" s="29" t="s">
        <v>12</v>
      </c>
      <c r="I7" s="29" t="s">
        <v>12</v>
      </c>
      <c r="J7" s="29" t="s">
        <v>12</v>
      </c>
      <c r="K7" s="29" t="s">
        <v>12</v>
      </c>
      <c r="L7" s="2" t="s">
        <v>10</v>
      </c>
      <c r="M7" s="2" t="s">
        <v>10</v>
      </c>
      <c r="N7" s="25" t="s">
        <v>16</v>
      </c>
      <c r="O7" s="25" t="s">
        <v>16</v>
      </c>
      <c r="P7" s="25" t="s">
        <v>16</v>
      </c>
      <c r="Q7" s="25" t="s">
        <v>16</v>
      </c>
      <c r="R7" s="25" t="s">
        <v>16</v>
      </c>
      <c r="S7" s="2" t="s">
        <v>10</v>
      </c>
      <c r="T7" s="2" t="s">
        <v>10</v>
      </c>
      <c r="U7" s="29" t="s">
        <v>12</v>
      </c>
      <c r="V7" s="29" t="s">
        <v>12</v>
      </c>
      <c r="W7" s="29" t="s">
        <v>12</v>
      </c>
      <c r="X7" s="29" t="s">
        <v>12</v>
      </c>
      <c r="Y7" s="29" t="s">
        <v>12</v>
      </c>
      <c r="Z7" s="2" t="s">
        <v>10</v>
      </c>
      <c r="AA7" s="2" t="s">
        <v>10</v>
      </c>
      <c r="AB7" s="6" t="s">
        <v>14</v>
      </c>
      <c r="AC7" s="6" t="s">
        <v>14</v>
      </c>
      <c r="AD7" s="6" t="s">
        <v>14</v>
      </c>
      <c r="AE7" s="6" t="s">
        <v>14</v>
      </c>
      <c r="AF7" s="6" t="s">
        <v>14</v>
      </c>
      <c r="AG7" s="2" t="s">
        <v>10</v>
      </c>
      <c r="AH7" s="2" t="s">
        <v>10</v>
      </c>
      <c r="AI7" s="29" t="s">
        <v>12</v>
      </c>
      <c r="AJ7" s="29" t="s">
        <v>12</v>
      </c>
      <c r="AK7" s="29" t="s">
        <v>12</v>
      </c>
      <c r="AL7" s="29" t="s">
        <v>12</v>
      </c>
      <c r="AM7" s="29" t="s">
        <v>12</v>
      </c>
      <c r="AN7" s="2" t="s">
        <v>10</v>
      </c>
      <c r="AO7" s="2" t="s">
        <v>10</v>
      </c>
      <c r="AP7" s="25" t="s">
        <v>16</v>
      </c>
      <c r="AQ7" s="25" t="s">
        <v>16</v>
      </c>
      <c r="AR7" s="25" t="s">
        <v>16</v>
      </c>
      <c r="AS7" s="25" t="s">
        <v>16</v>
      </c>
    </row>
    <row r="8" spans="1:45" ht="15" customHeight="1" x14ac:dyDescent="0.25">
      <c r="A8" s="28">
        <v>6</v>
      </c>
      <c r="B8" s="38" t="s">
        <v>51</v>
      </c>
      <c r="C8" s="25" t="s">
        <v>16</v>
      </c>
      <c r="D8" s="25" t="s">
        <v>16</v>
      </c>
      <c r="E8" s="2" t="s">
        <v>10</v>
      </c>
      <c r="F8" s="2" t="s">
        <v>10</v>
      </c>
      <c r="G8" s="6" t="s">
        <v>14</v>
      </c>
      <c r="H8" s="6" t="s">
        <v>14</v>
      </c>
      <c r="I8" s="6" t="s">
        <v>14</v>
      </c>
      <c r="J8" s="6" t="s">
        <v>14</v>
      </c>
      <c r="K8" s="6" t="s">
        <v>14</v>
      </c>
      <c r="L8" s="2" t="s">
        <v>10</v>
      </c>
      <c r="M8" s="2" t="s">
        <v>10</v>
      </c>
      <c r="N8" s="6" t="s">
        <v>14</v>
      </c>
      <c r="O8" s="2" t="s">
        <v>10</v>
      </c>
      <c r="P8" s="6" t="s">
        <v>14</v>
      </c>
      <c r="Q8" s="6" t="s">
        <v>14</v>
      </c>
      <c r="R8" s="6" t="s">
        <v>14</v>
      </c>
      <c r="S8" s="29" t="s">
        <v>12</v>
      </c>
      <c r="T8" s="29" t="s">
        <v>12</v>
      </c>
      <c r="U8" s="2" t="s">
        <v>10</v>
      </c>
      <c r="V8" s="2" t="s">
        <v>10</v>
      </c>
      <c r="W8" s="6" t="s">
        <v>14</v>
      </c>
      <c r="X8" s="6" t="s">
        <v>14</v>
      </c>
      <c r="Y8" s="6" t="s">
        <v>14</v>
      </c>
      <c r="Z8" s="29" t="s">
        <v>12</v>
      </c>
      <c r="AA8" s="29" t="s">
        <v>12</v>
      </c>
      <c r="AB8" s="2" t="s">
        <v>10</v>
      </c>
      <c r="AC8" s="2" t="s">
        <v>10</v>
      </c>
      <c r="AD8" s="29" t="s">
        <v>12</v>
      </c>
      <c r="AE8" s="29" t="s">
        <v>12</v>
      </c>
      <c r="AF8" s="29" t="s">
        <v>12</v>
      </c>
      <c r="AG8" s="29" t="s">
        <v>12</v>
      </c>
      <c r="AH8" s="29" t="s">
        <v>12</v>
      </c>
      <c r="AI8" s="2" t="s">
        <v>10</v>
      </c>
      <c r="AJ8" s="2" t="s">
        <v>10</v>
      </c>
      <c r="AK8" s="25" t="s">
        <v>16</v>
      </c>
      <c r="AL8" s="25" t="s">
        <v>16</v>
      </c>
      <c r="AM8" s="25" t="s">
        <v>16</v>
      </c>
      <c r="AN8" s="25" t="s">
        <v>16</v>
      </c>
      <c r="AO8" s="25" t="s">
        <v>16</v>
      </c>
      <c r="AP8" s="2" t="s">
        <v>10</v>
      </c>
      <c r="AQ8" s="2" t="s">
        <v>10</v>
      </c>
      <c r="AR8" s="6" t="s">
        <v>14</v>
      </c>
      <c r="AS8" s="6" t="s">
        <v>14</v>
      </c>
    </row>
    <row r="9" spans="1:45" ht="15" customHeight="1" thickBot="1" x14ac:dyDescent="0.3">
      <c r="A9" s="28">
        <v>7</v>
      </c>
      <c r="B9" s="38" t="s">
        <v>18</v>
      </c>
      <c r="C9" s="2" t="s">
        <v>10</v>
      </c>
      <c r="D9" s="2" t="s">
        <v>10</v>
      </c>
      <c r="E9" s="6" t="s">
        <v>14</v>
      </c>
      <c r="F9" s="6" t="s">
        <v>14</v>
      </c>
      <c r="G9" s="6" t="s">
        <v>14</v>
      </c>
      <c r="H9" s="6" t="s">
        <v>14</v>
      </c>
      <c r="I9" s="6" t="s">
        <v>14</v>
      </c>
      <c r="J9" s="2" t="s">
        <v>10</v>
      </c>
      <c r="K9" s="2" t="s">
        <v>10</v>
      </c>
      <c r="L9" s="6" t="s">
        <v>14</v>
      </c>
      <c r="M9" s="6" t="s">
        <v>14</v>
      </c>
      <c r="N9" s="6" t="s">
        <v>14</v>
      </c>
      <c r="O9" s="6" t="s">
        <v>14</v>
      </c>
      <c r="P9" s="6" t="s">
        <v>14</v>
      </c>
      <c r="Q9" s="2" t="s">
        <v>10</v>
      </c>
      <c r="R9" s="2" t="s">
        <v>10</v>
      </c>
      <c r="S9" s="6" t="s">
        <v>14</v>
      </c>
      <c r="T9" s="6" t="s">
        <v>14</v>
      </c>
      <c r="U9" s="6" t="s">
        <v>14</v>
      </c>
      <c r="V9" s="6" t="s">
        <v>14</v>
      </c>
      <c r="W9" s="6" t="s">
        <v>14</v>
      </c>
      <c r="X9" s="2" t="s">
        <v>10</v>
      </c>
      <c r="Y9" s="2" t="s">
        <v>10</v>
      </c>
      <c r="Z9" s="6" t="s">
        <v>14</v>
      </c>
      <c r="AA9" s="6" t="s">
        <v>14</v>
      </c>
      <c r="AB9" s="6" t="s">
        <v>14</v>
      </c>
      <c r="AC9" s="6" t="s">
        <v>14</v>
      </c>
      <c r="AD9" s="6" t="s">
        <v>14</v>
      </c>
      <c r="AE9" s="2" t="s">
        <v>10</v>
      </c>
      <c r="AF9" s="2" t="s">
        <v>10</v>
      </c>
      <c r="AG9" s="6" t="s">
        <v>14</v>
      </c>
      <c r="AH9" s="6" t="s">
        <v>14</v>
      </c>
      <c r="AI9" s="6" t="s">
        <v>14</v>
      </c>
      <c r="AJ9" s="6" t="s">
        <v>14</v>
      </c>
      <c r="AK9" s="6" t="s">
        <v>14</v>
      </c>
      <c r="AL9" s="2" t="s">
        <v>10</v>
      </c>
      <c r="AM9" s="2" t="s">
        <v>10</v>
      </c>
      <c r="AN9" s="6" t="s">
        <v>14</v>
      </c>
      <c r="AO9" s="6" t="s">
        <v>14</v>
      </c>
      <c r="AP9" s="6" t="s">
        <v>14</v>
      </c>
      <c r="AQ9" s="6" t="s">
        <v>14</v>
      </c>
      <c r="AR9" s="6" t="s">
        <v>14</v>
      </c>
      <c r="AS9" s="2" t="s">
        <v>10</v>
      </c>
    </row>
    <row r="10" spans="1:45" ht="15" customHeight="1" thickBot="1" x14ac:dyDescent="0.3">
      <c r="A10" s="28">
        <v>8</v>
      </c>
      <c r="B10" s="38" t="s">
        <v>58</v>
      </c>
      <c r="C10" s="29" t="s">
        <v>12</v>
      </c>
      <c r="D10" s="29" t="s">
        <v>12</v>
      </c>
      <c r="E10" s="2" t="s">
        <v>10</v>
      </c>
      <c r="F10" s="2" t="s">
        <v>10</v>
      </c>
      <c r="G10" s="9" t="s">
        <v>9</v>
      </c>
      <c r="H10" s="29" t="s">
        <v>12</v>
      </c>
      <c r="I10" s="29" t="s">
        <v>12</v>
      </c>
      <c r="J10" s="29" t="s">
        <v>12</v>
      </c>
      <c r="K10" s="29" t="s">
        <v>12</v>
      </c>
      <c r="L10" s="2" t="s">
        <v>10</v>
      </c>
      <c r="M10" s="2" t="s">
        <v>10</v>
      </c>
      <c r="N10" s="25" t="s">
        <v>16</v>
      </c>
      <c r="O10" s="2" t="s">
        <v>10</v>
      </c>
      <c r="P10" s="2" t="s">
        <v>10</v>
      </c>
      <c r="Q10" s="13" t="s">
        <v>27</v>
      </c>
      <c r="R10" s="6" t="s">
        <v>14</v>
      </c>
      <c r="S10" s="6" t="s">
        <v>62</v>
      </c>
      <c r="T10" s="6" t="s">
        <v>62</v>
      </c>
      <c r="U10" s="6" t="s">
        <v>62</v>
      </c>
      <c r="V10" s="2" t="s">
        <v>10</v>
      </c>
      <c r="W10" s="2" t="s">
        <v>10</v>
      </c>
      <c r="X10" s="6" t="s">
        <v>14</v>
      </c>
      <c r="Y10" s="6" t="s">
        <v>14</v>
      </c>
      <c r="Z10" s="29" t="s">
        <v>12</v>
      </c>
      <c r="AA10" s="29" t="s">
        <v>12</v>
      </c>
      <c r="AB10" s="29" t="s">
        <v>12</v>
      </c>
      <c r="AC10" s="2" t="s">
        <v>10</v>
      </c>
      <c r="AD10" s="2" t="s">
        <v>10</v>
      </c>
      <c r="AE10" s="6" t="s">
        <v>14</v>
      </c>
      <c r="AF10" s="6" t="s">
        <v>14</v>
      </c>
      <c r="AG10" s="25" t="s">
        <v>16</v>
      </c>
      <c r="AH10" s="25" t="s">
        <v>16</v>
      </c>
      <c r="AI10" s="25" t="s">
        <v>16</v>
      </c>
      <c r="AJ10" s="25" t="s">
        <v>60</v>
      </c>
      <c r="AK10" s="2" t="s">
        <v>61</v>
      </c>
      <c r="AL10" s="2" t="s">
        <v>61</v>
      </c>
      <c r="AM10" s="6" t="s">
        <v>14</v>
      </c>
      <c r="AN10" s="6" t="s">
        <v>14</v>
      </c>
      <c r="AO10" s="6" t="s">
        <v>14</v>
      </c>
      <c r="AP10" s="6" t="s">
        <v>14</v>
      </c>
      <c r="AQ10" s="2" t="s">
        <v>10</v>
      </c>
      <c r="AR10" s="2" t="s">
        <v>10</v>
      </c>
      <c r="AS10" s="29" t="s">
        <v>12</v>
      </c>
    </row>
    <row r="11" spans="1:45" ht="15" customHeight="1" thickBot="1" x14ac:dyDescent="0.3">
      <c r="A11" s="28">
        <v>9</v>
      </c>
      <c r="B11" s="38" t="s">
        <v>50</v>
      </c>
      <c r="C11" s="2" t="s">
        <v>10</v>
      </c>
      <c r="D11" s="2" t="s">
        <v>10</v>
      </c>
      <c r="E11" s="25" t="s">
        <v>16</v>
      </c>
      <c r="F11" s="25" t="s">
        <v>16</v>
      </c>
      <c r="G11" s="25" t="s">
        <v>16</v>
      </c>
      <c r="H11" s="25" t="s">
        <v>16</v>
      </c>
      <c r="I11" s="25" t="s">
        <v>16</v>
      </c>
      <c r="J11" s="2" t="s">
        <v>10</v>
      </c>
      <c r="K11" s="2" t="s">
        <v>10</v>
      </c>
      <c r="L11" s="6" t="s">
        <v>14</v>
      </c>
      <c r="M11" s="6" t="s">
        <v>14</v>
      </c>
      <c r="N11" s="29" t="s">
        <v>12</v>
      </c>
      <c r="O11" s="29" t="s">
        <v>12</v>
      </c>
      <c r="P11" s="29" t="s">
        <v>12</v>
      </c>
      <c r="Q11" s="29" t="s">
        <v>12</v>
      </c>
      <c r="R11" s="29" t="s">
        <v>12</v>
      </c>
      <c r="S11" s="2" t="s">
        <v>10</v>
      </c>
      <c r="T11" s="2" t="s">
        <v>10</v>
      </c>
      <c r="U11" s="29" t="s">
        <v>12</v>
      </c>
      <c r="V11" s="29" t="s">
        <v>12</v>
      </c>
      <c r="W11" s="29" t="s">
        <v>12</v>
      </c>
      <c r="X11" s="29" t="s">
        <v>12</v>
      </c>
      <c r="Y11" s="29" t="s">
        <v>12</v>
      </c>
      <c r="Z11" s="2" t="s">
        <v>10</v>
      </c>
      <c r="AA11" s="2" t="s">
        <v>10</v>
      </c>
      <c r="AB11" s="25" t="s">
        <v>16</v>
      </c>
      <c r="AC11" s="25" t="s">
        <v>16</v>
      </c>
      <c r="AD11" s="25" t="s">
        <v>16</v>
      </c>
      <c r="AE11" s="25" t="s">
        <v>16</v>
      </c>
      <c r="AF11" s="25" t="s">
        <v>16</v>
      </c>
      <c r="AG11" s="2" t="s">
        <v>10</v>
      </c>
      <c r="AH11" s="2" t="s">
        <v>10</v>
      </c>
      <c r="AI11" s="6" t="s">
        <v>14</v>
      </c>
      <c r="AJ11" s="6" t="s">
        <v>14</v>
      </c>
      <c r="AK11" s="6" t="s">
        <v>14</v>
      </c>
      <c r="AL11" s="29" t="s">
        <v>12</v>
      </c>
      <c r="AM11" s="29" t="s">
        <v>12</v>
      </c>
      <c r="AN11" s="2" t="s">
        <v>10</v>
      </c>
      <c r="AO11" s="2" t="s">
        <v>10</v>
      </c>
      <c r="AP11" s="29" t="s">
        <v>12</v>
      </c>
      <c r="AQ11" s="29" t="s">
        <v>12</v>
      </c>
      <c r="AR11" s="29" t="s">
        <v>12</v>
      </c>
      <c r="AS11" s="29" t="s">
        <v>12</v>
      </c>
    </row>
    <row r="12" spans="1:45" ht="15" customHeight="1" thickBot="1" x14ac:dyDescent="0.3">
      <c r="A12" s="28">
        <v>10</v>
      </c>
      <c r="B12" s="38" t="s">
        <v>20</v>
      </c>
      <c r="C12" s="6" t="s">
        <v>14</v>
      </c>
      <c r="D12" s="6" t="s">
        <v>14</v>
      </c>
      <c r="E12" s="6" t="s">
        <v>14</v>
      </c>
      <c r="F12" s="2" t="s">
        <v>10</v>
      </c>
      <c r="G12" s="2" t="s">
        <v>10</v>
      </c>
      <c r="H12" s="6" t="s">
        <v>14</v>
      </c>
      <c r="I12" s="6" t="s">
        <v>14</v>
      </c>
      <c r="J12" s="6" t="s">
        <v>14</v>
      </c>
      <c r="K12" s="6" t="s">
        <v>14</v>
      </c>
      <c r="L12" s="6" t="s">
        <v>14</v>
      </c>
      <c r="M12" s="2" t="s">
        <v>10</v>
      </c>
      <c r="N12" s="2" t="s">
        <v>10</v>
      </c>
      <c r="O12" s="29" t="s">
        <v>12</v>
      </c>
      <c r="P12" s="29" t="s">
        <v>12</v>
      </c>
      <c r="Q12" s="2" t="s">
        <v>10</v>
      </c>
      <c r="R12" s="2" t="s">
        <v>10</v>
      </c>
      <c r="S12" s="25" t="s">
        <v>16</v>
      </c>
      <c r="T12" s="25" t="s">
        <v>16</v>
      </c>
      <c r="U12" s="25" t="s">
        <v>16</v>
      </c>
      <c r="V12" s="25" t="s">
        <v>16</v>
      </c>
      <c r="W12" s="25" t="s">
        <v>16</v>
      </c>
      <c r="X12" s="2" t="s">
        <v>10</v>
      </c>
      <c r="Y12" s="2" t="s">
        <v>10</v>
      </c>
      <c r="Z12" s="6" t="s">
        <v>14</v>
      </c>
      <c r="AA12" s="9" t="s">
        <v>9</v>
      </c>
      <c r="AB12" s="29" t="s">
        <v>12</v>
      </c>
      <c r="AC12" s="29" t="s">
        <v>12</v>
      </c>
      <c r="AD12" s="29" t="s">
        <v>12</v>
      </c>
      <c r="AE12" s="2" t="s">
        <v>10</v>
      </c>
      <c r="AF12" s="2" t="s">
        <v>10</v>
      </c>
      <c r="AG12" s="6" t="s">
        <v>14</v>
      </c>
      <c r="AH12" s="9" t="s">
        <v>9</v>
      </c>
      <c r="AI12" s="29" t="s">
        <v>12</v>
      </c>
      <c r="AJ12" s="29" t="s">
        <v>12</v>
      </c>
      <c r="AK12" s="29" t="s">
        <v>12</v>
      </c>
      <c r="AL12" s="2" t="s">
        <v>10</v>
      </c>
      <c r="AM12" s="2" t="s">
        <v>10</v>
      </c>
      <c r="AN12" s="29" t="s">
        <v>12</v>
      </c>
      <c r="AO12" s="29" t="s">
        <v>12</v>
      </c>
      <c r="AP12" s="29" t="s">
        <v>12</v>
      </c>
      <c r="AQ12" s="29" t="s">
        <v>12</v>
      </c>
      <c r="AR12" s="29" t="s">
        <v>12</v>
      </c>
      <c r="AS12" s="2" t="s">
        <v>10</v>
      </c>
    </row>
    <row r="13" spans="1:45" x14ac:dyDescent="0.25">
      <c r="A13" s="28">
        <v>11</v>
      </c>
      <c r="B13" s="38" t="s">
        <v>53</v>
      </c>
      <c r="C13" s="2" t="s">
        <v>10</v>
      </c>
      <c r="D13" s="2" t="s">
        <v>10</v>
      </c>
      <c r="E13" s="29" t="s">
        <v>12</v>
      </c>
      <c r="F13" s="29" t="s">
        <v>12</v>
      </c>
      <c r="G13" s="29" t="s">
        <v>12</v>
      </c>
      <c r="H13" s="29" t="s">
        <v>12</v>
      </c>
      <c r="I13" s="29" t="s">
        <v>12</v>
      </c>
      <c r="J13" s="2" t="s">
        <v>10</v>
      </c>
      <c r="K13" s="2" t="s">
        <v>10</v>
      </c>
      <c r="L13" s="29" t="s">
        <v>12</v>
      </c>
      <c r="M13" s="29" t="s">
        <v>12</v>
      </c>
      <c r="N13" s="29" t="s">
        <v>12</v>
      </c>
      <c r="O13" s="2" t="s">
        <v>10</v>
      </c>
      <c r="P13" s="6" t="s">
        <v>14</v>
      </c>
      <c r="Q13" s="6" t="s">
        <v>14</v>
      </c>
      <c r="R13" s="6" t="s">
        <v>14</v>
      </c>
      <c r="S13" s="6" t="s">
        <v>14</v>
      </c>
      <c r="T13" s="6" t="s">
        <v>14</v>
      </c>
      <c r="U13" s="2" t="s">
        <v>10</v>
      </c>
      <c r="V13" s="2" t="s">
        <v>10</v>
      </c>
      <c r="W13" s="6" t="s">
        <v>14</v>
      </c>
      <c r="X13" s="6" t="s">
        <v>14</v>
      </c>
      <c r="Y13" s="6" t="s">
        <v>14</v>
      </c>
      <c r="Z13" s="6" t="s">
        <v>14</v>
      </c>
      <c r="AA13" s="6" t="s">
        <v>14</v>
      </c>
      <c r="AB13" s="2" t="s">
        <v>10</v>
      </c>
      <c r="AC13" s="2" t="s">
        <v>10</v>
      </c>
      <c r="AD13" s="6" t="s">
        <v>14</v>
      </c>
      <c r="AE13" s="6" t="s">
        <v>14</v>
      </c>
      <c r="AF13" s="6" t="s">
        <v>14</v>
      </c>
      <c r="AG13" s="6" t="s">
        <v>14</v>
      </c>
      <c r="AH13" s="6" t="s">
        <v>14</v>
      </c>
      <c r="AI13" s="2" t="s">
        <v>10</v>
      </c>
      <c r="AJ13" s="2" t="s">
        <v>10</v>
      </c>
      <c r="AK13" s="6" t="s">
        <v>14</v>
      </c>
      <c r="AL13" s="6" t="s">
        <v>14</v>
      </c>
      <c r="AM13" s="6" t="s">
        <v>14</v>
      </c>
      <c r="AN13" s="29" t="s">
        <v>12</v>
      </c>
      <c r="AO13" s="29" t="s">
        <v>12</v>
      </c>
      <c r="AP13" s="2" t="s">
        <v>10</v>
      </c>
      <c r="AQ13" s="2" t="s">
        <v>10</v>
      </c>
      <c r="AR13" s="6" t="s">
        <v>14</v>
      </c>
      <c r="AS13" s="6" t="s">
        <v>14</v>
      </c>
    </row>
    <row r="14" spans="1:45" ht="15" customHeight="1" thickBot="1" x14ac:dyDescent="0.3">
      <c r="A14" s="28">
        <v>12</v>
      </c>
      <c r="B14" s="38" t="s">
        <v>17</v>
      </c>
      <c r="C14" s="6" t="s">
        <v>14</v>
      </c>
      <c r="D14" s="6" t="s">
        <v>14</v>
      </c>
      <c r="E14" s="6" t="s">
        <v>14</v>
      </c>
      <c r="F14" s="6" t="s">
        <v>14</v>
      </c>
      <c r="G14" s="6" t="s">
        <v>14</v>
      </c>
      <c r="H14" s="6" t="s">
        <v>14</v>
      </c>
      <c r="I14" s="2" t="s">
        <v>10</v>
      </c>
      <c r="J14" s="6" t="s">
        <v>14</v>
      </c>
      <c r="K14" s="6" t="s">
        <v>14</v>
      </c>
      <c r="L14" s="6" t="s">
        <v>14</v>
      </c>
      <c r="M14" s="6" t="s">
        <v>14</v>
      </c>
      <c r="N14" s="6" t="s">
        <v>14</v>
      </c>
      <c r="O14" s="6" t="s">
        <v>14</v>
      </c>
      <c r="P14" s="6" t="s">
        <v>14</v>
      </c>
      <c r="Q14" s="6" t="s">
        <v>14</v>
      </c>
      <c r="R14" s="2" t="s">
        <v>10</v>
      </c>
      <c r="S14" s="6" t="s">
        <v>14</v>
      </c>
      <c r="T14" s="6" t="s">
        <v>14</v>
      </c>
      <c r="U14" s="6" t="s">
        <v>14</v>
      </c>
      <c r="V14" s="6" t="s">
        <v>14</v>
      </c>
      <c r="W14" s="6" t="s">
        <v>14</v>
      </c>
      <c r="X14" s="6" t="s">
        <v>14</v>
      </c>
      <c r="Y14" s="2" t="s">
        <v>10</v>
      </c>
      <c r="Z14" s="6" t="s">
        <v>14</v>
      </c>
      <c r="AA14" s="6" t="s">
        <v>14</v>
      </c>
      <c r="AB14" s="6" t="s">
        <v>14</v>
      </c>
      <c r="AC14" s="6" t="s">
        <v>14</v>
      </c>
      <c r="AD14" s="6" t="s">
        <v>14</v>
      </c>
      <c r="AE14" s="6" t="s">
        <v>14</v>
      </c>
      <c r="AF14" s="2" t="s">
        <v>10</v>
      </c>
      <c r="AG14" s="6" t="s">
        <v>14</v>
      </c>
      <c r="AH14" s="6" t="s">
        <v>14</v>
      </c>
      <c r="AI14" s="6" t="s">
        <v>14</v>
      </c>
      <c r="AJ14" s="6" t="s">
        <v>14</v>
      </c>
      <c r="AK14" s="6" t="s">
        <v>14</v>
      </c>
      <c r="AL14" s="6" t="s">
        <v>14</v>
      </c>
      <c r="AM14" s="2" t="s">
        <v>10</v>
      </c>
      <c r="AN14" s="6" t="s">
        <v>14</v>
      </c>
      <c r="AO14" s="6" t="s">
        <v>14</v>
      </c>
      <c r="AP14" s="6" t="s">
        <v>14</v>
      </c>
      <c r="AQ14" s="6" t="s">
        <v>14</v>
      </c>
      <c r="AR14" s="6" t="s">
        <v>14</v>
      </c>
      <c r="AS14" s="6" t="s">
        <v>14</v>
      </c>
    </row>
    <row r="15" spans="1:45" ht="15" customHeight="1" thickBot="1" x14ac:dyDescent="0.3">
      <c r="A15" s="28">
        <v>13</v>
      </c>
      <c r="B15" s="38" t="s">
        <v>11</v>
      </c>
      <c r="C15" s="9" t="s">
        <v>9</v>
      </c>
      <c r="D15" s="9" t="s">
        <v>9</v>
      </c>
      <c r="E15" s="9" t="s">
        <v>9</v>
      </c>
      <c r="F15" s="9" t="s">
        <v>9</v>
      </c>
      <c r="G15" s="29" t="s">
        <v>12</v>
      </c>
      <c r="H15" s="2" t="s">
        <v>10</v>
      </c>
      <c r="I15" s="2" t="s">
        <v>10</v>
      </c>
      <c r="J15" s="29" t="s">
        <v>12</v>
      </c>
      <c r="K15" s="29" t="s">
        <v>12</v>
      </c>
      <c r="L15" s="29" t="s">
        <v>12</v>
      </c>
      <c r="M15" s="29" t="s">
        <v>12</v>
      </c>
      <c r="N15" s="29" t="s">
        <v>12</v>
      </c>
      <c r="O15" s="6" t="s">
        <v>14</v>
      </c>
      <c r="P15" s="2" t="s">
        <v>10</v>
      </c>
      <c r="Q15" s="2" t="s">
        <v>10</v>
      </c>
      <c r="R15" s="6" t="s">
        <v>14</v>
      </c>
      <c r="S15" s="6" t="s">
        <v>14</v>
      </c>
      <c r="T15" s="6" t="s">
        <v>14</v>
      </c>
      <c r="U15" s="6" t="s">
        <v>14</v>
      </c>
      <c r="V15" s="6" t="s">
        <v>14</v>
      </c>
      <c r="W15" s="2" t="s">
        <v>10</v>
      </c>
      <c r="X15" s="2" t="s">
        <v>10</v>
      </c>
      <c r="Y15" s="6" t="s">
        <v>14</v>
      </c>
      <c r="Z15" s="6" t="s">
        <v>14</v>
      </c>
      <c r="AA15" s="6" t="s">
        <v>14</v>
      </c>
      <c r="AB15" s="6" t="s">
        <v>14</v>
      </c>
      <c r="AC15" s="29" t="s">
        <v>12</v>
      </c>
      <c r="AD15" s="2" t="s">
        <v>10</v>
      </c>
      <c r="AE15" s="2" t="s">
        <v>10</v>
      </c>
      <c r="AF15" s="6" t="s">
        <v>14</v>
      </c>
      <c r="AG15" s="6" t="s">
        <v>14</v>
      </c>
      <c r="AH15" s="6" t="s">
        <v>14</v>
      </c>
      <c r="AI15" s="6" t="s">
        <v>14</v>
      </c>
      <c r="AJ15" s="6" t="s">
        <v>14</v>
      </c>
      <c r="AK15" s="2" t="s">
        <v>10</v>
      </c>
      <c r="AL15" s="2" t="s">
        <v>10</v>
      </c>
      <c r="AM15" s="6" t="s">
        <v>14</v>
      </c>
      <c r="AN15" s="6" t="s">
        <v>14</v>
      </c>
      <c r="AO15" s="6" t="s">
        <v>14</v>
      </c>
      <c r="AP15" s="6" t="s">
        <v>14</v>
      </c>
      <c r="AQ15" s="6" t="s">
        <v>14</v>
      </c>
      <c r="AR15" s="2" t="s">
        <v>10</v>
      </c>
      <c r="AS15" s="2" t="s">
        <v>10</v>
      </c>
    </row>
    <row r="16" spans="1:45" ht="15" customHeight="1" x14ac:dyDescent="0.25">
      <c r="A16" s="28">
        <v>14</v>
      </c>
      <c r="B16" s="38" t="s">
        <v>57</v>
      </c>
      <c r="C16" s="30" t="s">
        <v>27</v>
      </c>
      <c r="D16" s="30" t="s">
        <v>27</v>
      </c>
      <c r="E16" s="30" t="s">
        <v>27</v>
      </c>
      <c r="F16" s="30" t="s">
        <v>27</v>
      </c>
      <c r="G16" s="30" t="s">
        <v>27</v>
      </c>
      <c r="H16" s="30" t="s">
        <v>27</v>
      </c>
      <c r="I16" s="30" t="s">
        <v>27</v>
      </c>
      <c r="J16" s="30" t="s">
        <v>27</v>
      </c>
      <c r="K16" s="30" t="s">
        <v>27</v>
      </c>
      <c r="L16" s="30" t="s">
        <v>27</v>
      </c>
      <c r="M16" s="30" t="s">
        <v>27</v>
      </c>
      <c r="N16" s="6" t="s">
        <v>14</v>
      </c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</row>
    <row r="17" spans="1:45" x14ac:dyDescent="0.25">
      <c r="A17" s="45"/>
      <c r="B17" s="47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</row>
    <row r="18" spans="1:45" ht="15.75" hidden="1" thickBot="1" x14ac:dyDescent="0.3">
      <c r="A18" s="31"/>
      <c r="B18" s="32" t="s">
        <v>14</v>
      </c>
      <c r="C18" s="6">
        <f>COUNTIF(C12:C17,"M")</f>
        <v>2</v>
      </c>
      <c r="D18" s="6">
        <f>COUNTIF(D12:D17,"M")</f>
        <v>2</v>
      </c>
      <c r="E18" s="6">
        <v>3</v>
      </c>
      <c r="F18" s="6">
        <f>COUNTIF(F12:F17,"M")</f>
        <v>1</v>
      </c>
      <c r="G18" s="6">
        <f>COUNTIF(G12:G17,"M")</f>
        <v>1</v>
      </c>
      <c r="H18" s="6">
        <v>3</v>
      </c>
      <c r="I18" s="6">
        <v>3</v>
      </c>
      <c r="J18" s="6">
        <v>3</v>
      </c>
      <c r="K18" s="6">
        <f>COUNTIF(K12:K17,"M")</f>
        <v>2</v>
      </c>
      <c r="L18" s="6">
        <v>3</v>
      </c>
      <c r="M18" s="6">
        <f t="shared" ref="M18:R18" si="0">COUNTIF(M12:M17,"M")</f>
        <v>1</v>
      </c>
      <c r="N18" s="6">
        <f t="shared" si="0"/>
        <v>2</v>
      </c>
      <c r="O18" s="6">
        <f t="shared" si="0"/>
        <v>2</v>
      </c>
      <c r="P18" s="6">
        <f t="shared" si="0"/>
        <v>2</v>
      </c>
      <c r="Q18" s="6">
        <f t="shared" si="0"/>
        <v>2</v>
      </c>
      <c r="R18" s="6">
        <f t="shared" si="0"/>
        <v>2</v>
      </c>
      <c r="S18" s="6">
        <v>3</v>
      </c>
      <c r="T18" s="6">
        <f t="shared" ref="T18:AF18" si="1">COUNTIF(T12:T17,"M")</f>
        <v>3</v>
      </c>
      <c r="U18" s="6">
        <f t="shared" si="1"/>
        <v>2</v>
      </c>
      <c r="V18" s="6">
        <f t="shared" si="1"/>
        <v>2</v>
      </c>
      <c r="W18" s="6">
        <f t="shared" si="1"/>
        <v>2</v>
      </c>
      <c r="X18" s="6">
        <f t="shared" si="1"/>
        <v>2</v>
      </c>
      <c r="Y18" s="6">
        <f t="shared" si="1"/>
        <v>2</v>
      </c>
      <c r="Z18" s="6">
        <f t="shared" si="1"/>
        <v>4</v>
      </c>
      <c r="AA18" s="6">
        <f t="shared" si="1"/>
        <v>3</v>
      </c>
      <c r="AB18" s="6">
        <f t="shared" si="1"/>
        <v>2</v>
      </c>
      <c r="AC18" s="6">
        <f t="shared" si="1"/>
        <v>1</v>
      </c>
      <c r="AD18" s="6">
        <f t="shared" si="1"/>
        <v>2</v>
      </c>
      <c r="AE18" s="6">
        <f t="shared" si="1"/>
        <v>2</v>
      </c>
      <c r="AF18" s="6">
        <f t="shared" si="1"/>
        <v>2</v>
      </c>
    </row>
    <row r="19" spans="1:45" hidden="1" x14ac:dyDescent="0.25">
      <c r="A19" s="31"/>
      <c r="B19" s="33" t="s">
        <v>9</v>
      </c>
      <c r="C19" s="33">
        <f t="shared" ref="C19:AF19" si="2">COUNTIF(C12:C17,"B")</f>
        <v>1</v>
      </c>
      <c r="D19" s="33">
        <f t="shared" si="2"/>
        <v>1</v>
      </c>
      <c r="E19" s="33">
        <f t="shared" si="2"/>
        <v>1</v>
      </c>
      <c r="F19" s="33">
        <f t="shared" si="2"/>
        <v>1</v>
      </c>
      <c r="G19" s="33">
        <f t="shared" si="2"/>
        <v>0</v>
      </c>
      <c r="H19" s="33">
        <f t="shared" si="2"/>
        <v>0</v>
      </c>
      <c r="I19" s="33">
        <f t="shared" si="2"/>
        <v>0</v>
      </c>
      <c r="J19" s="33">
        <f t="shared" si="2"/>
        <v>0</v>
      </c>
      <c r="K19" s="33">
        <f t="shared" si="2"/>
        <v>0</v>
      </c>
      <c r="L19" s="33">
        <f t="shared" si="2"/>
        <v>0</v>
      </c>
      <c r="M19" s="33">
        <f t="shared" si="2"/>
        <v>0</v>
      </c>
      <c r="N19" s="33">
        <f t="shared" si="2"/>
        <v>0</v>
      </c>
      <c r="O19" s="33">
        <f t="shared" si="2"/>
        <v>0</v>
      </c>
      <c r="P19" s="33">
        <f t="shared" si="2"/>
        <v>0</v>
      </c>
      <c r="Q19" s="33">
        <f t="shared" si="2"/>
        <v>0</v>
      </c>
      <c r="R19" s="33">
        <f t="shared" si="2"/>
        <v>0</v>
      </c>
      <c r="S19" s="33">
        <f t="shared" si="2"/>
        <v>0</v>
      </c>
      <c r="T19" s="33">
        <f t="shared" si="2"/>
        <v>0</v>
      </c>
      <c r="U19" s="33">
        <f t="shared" si="2"/>
        <v>0</v>
      </c>
      <c r="V19" s="33">
        <f t="shared" si="2"/>
        <v>0</v>
      </c>
      <c r="W19" s="33">
        <f t="shared" si="2"/>
        <v>0</v>
      </c>
      <c r="X19" s="33">
        <f t="shared" si="2"/>
        <v>0</v>
      </c>
      <c r="Y19" s="33">
        <f t="shared" si="2"/>
        <v>0</v>
      </c>
      <c r="Z19" s="33">
        <f t="shared" si="2"/>
        <v>0</v>
      </c>
      <c r="AA19" s="33">
        <f t="shared" si="2"/>
        <v>1</v>
      </c>
      <c r="AB19" s="33">
        <f t="shared" si="2"/>
        <v>0</v>
      </c>
      <c r="AC19" s="33">
        <f t="shared" si="2"/>
        <v>0</v>
      </c>
      <c r="AD19" s="33">
        <f t="shared" si="2"/>
        <v>0</v>
      </c>
      <c r="AE19" s="33">
        <f t="shared" si="2"/>
        <v>0</v>
      </c>
      <c r="AF19" s="33">
        <f t="shared" si="2"/>
        <v>0</v>
      </c>
    </row>
    <row r="20" spans="1:45" ht="12" hidden="1" customHeight="1" x14ac:dyDescent="0.25">
      <c r="A20" s="34"/>
      <c r="B20" s="35" t="s">
        <v>12</v>
      </c>
      <c r="C20" s="29">
        <f>COUNTIF(C12:C17,"E")</f>
        <v>0</v>
      </c>
      <c r="D20" s="29">
        <f>COUNTIF(D12:D17,"E")</f>
        <v>0</v>
      </c>
      <c r="E20" s="29">
        <f>COUNTIF(E12:E17,"E")</f>
        <v>1</v>
      </c>
      <c r="F20" s="29">
        <f>COUNTIF(F12:F17,"E")</f>
        <v>1</v>
      </c>
      <c r="G20" s="29">
        <v>1</v>
      </c>
      <c r="H20" s="29">
        <v>1</v>
      </c>
      <c r="I20" s="29">
        <f t="shared" ref="I20:AF20" si="3">COUNTIF(I12:I17,"E")</f>
        <v>1</v>
      </c>
      <c r="J20" s="29">
        <f t="shared" si="3"/>
        <v>1</v>
      </c>
      <c r="K20" s="29">
        <f t="shared" si="3"/>
        <v>1</v>
      </c>
      <c r="L20" s="29">
        <f t="shared" si="3"/>
        <v>2</v>
      </c>
      <c r="M20" s="29">
        <f t="shared" si="3"/>
        <v>2</v>
      </c>
      <c r="N20" s="29">
        <f t="shared" si="3"/>
        <v>2</v>
      </c>
      <c r="O20" s="29">
        <f t="shared" si="3"/>
        <v>1</v>
      </c>
      <c r="P20" s="29">
        <f t="shared" si="3"/>
        <v>1</v>
      </c>
      <c r="Q20" s="29">
        <f t="shared" si="3"/>
        <v>0</v>
      </c>
      <c r="R20" s="29">
        <f t="shared" si="3"/>
        <v>0</v>
      </c>
      <c r="S20" s="29">
        <f t="shared" si="3"/>
        <v>0</v>
      </c>
      <c r="T20" s="29">
        <f t="shared" si="3"/>
        <v>0</v>
      </c>
      <c r="U20" s="29">
        <f t="shared" si="3"/>
        <v>0</v>
      </c>
      <c r="V20" s="29">
        <f t="shared" si="3"/>
        <v>0</v>
      </c>
      <c r="W20" s="29">
        <f t="shared" si="3"/>
        <v>0</v>
      </c>
      <c r="X20" s="29">
        <f t="shared" si="3"/>
        <v>0</v>
      </c>
      <c r="Y20" s="29">
        <f t="shared" si="3"/>
        <v>0</v>
      </c>
      <c r="Z20" s="29">
        <f t="shared" si="3"/>
        <v>0</v>
      </c>
      <c r="AA20" s="29">
        <f t="shared" si="3"/>
        <v>0</v>
      </c>
      <c r="AB20" s="29">
        <f t="shared" si="3"/>
        <v>1</v>
      </c>
      <c r="AC20" s="29">
        <f t="shared" si="3"/>
        <v>2</v>
      </c>
      <c r="AD20" s="29">
        <f t="shared" si="3"/>
        <v>1</v>
      </c>
      <c r="AE20" s="29">
        <f t="shared" si="3"/>
        <v>0</v>
      </c>
      <c r="AF20" s="29">
        <f t="shared" si="3"/>
        <v>0</v>
      </c>
    </row>
    <row r="21" spans="1:45" hidden="1" x14ac:dyDescent="0.25">
      <c r="A21" s="10"/>
      <c r="B21" s="36" t="s">
        <v>16</v>
      </c>
      <c r="C21" s="37">
        <f>COUNTIF(C12:C17,"N")</f>
        <v>0</v>
      </c>
      <c r="D21" s="37">
        <f>COUNTIF(D12:D17,"N")</f>
        <v>0</v>
      </c>
      <c r="E21" s="37">
        <f>COUNTIF(E12:E17,"N")</f>
        <v>0</v>
      </c>
      <c r="F21" s="37">
        <f>COUNTIF(F12:F17,"N")</f>
        <v>0</v>
      </c>
      <c r="G21" s="37">
        <v>1</v>
      </c>
      <c r="H21" s="37">
        <f t="shared" ref="H21:AF21" si="4">COUNTIF(H12:H17,"N")</f>
        <v>0</v>
      </c>
      <c r="I21" s="37">
        <f t="shared" si="4"/>
        <v>0</v>
      </c>
      <c r="J21" s="37">
        <f t="shared" si="4"/>
        <v>0</v>
      </c>
      <c r="K21" s="37">
        <f t="shared" si="4"/>
        <v>0</v>
      </c>
      <c r="L21" s="37">
        <f t="shared" si="4"/>
        <v>0</v>
      </c>
      <c r="M21" s="37">
        <f t="shared" si="4"/>
        <v>0</v>
      </c>
      <c r="N21" s="37">
        <f t="shared" si="4"/>
        <v>0</v>
      </c>
      <c r="O21" s="37">
        <f t="shared" si="4"/>
        <v>0</v>
      </c>
      <c r="P21" s="37">
        <f t="shared" si="4"/>
        <v>0</v>
      </c>
      <c r="Q21" s="37">
        <f t="shared" si="4"/>
        <v>0</v>
      </c>
      <c r="R21" s="37">
        <f t="shared" si="4"/>
        <v>0</v>
      </c>
      <c r="S21" s="37">
        <f t="shared" si="4"/>
        <v>1</v>
      </c>
      <c r="T21" s="37">
        <f t="shared" si="4"/>
        <v>1</v>
      </c>
      <c r="U21" s="37">
        <f t="shared" si="4"/>
        <v>1</v>
      </c>
      <c r="V21" s="37">
        <f t="shared" si="4"/>
        <v>1</v>
      </c>
      <c r="W21" s="37">
        <f t="shared" si="4"/>
        <v>1</v>
      </c>
      <c r="X21" s="37">
        <f t="shared" si="4"/>
        <v>0</v>
      </c>
      <c r="Y21" s="37">
        <f t="shared" si="4"/>
        <v>0</v>
      </c>
      <c r="Z21" s="37">
        <f t="shared" si="4"/>
        <v>0</v>
      </c>
      <c r="AA21" s="37">
        <f t="shared" si="4"/>
        <v>0</v>
      </c>
      <c r="AB21" s="37">
        <f t="shared" si="4"/>
        <v>0</v>
      </c>
      <c r="AC21" s="37">
        <f t="shared" si="4"/>
        <v>0</v>
      </c>
      <c r="AD21" s="37">
        <f t="shared" si="4"/>
        <v>0</v>
      </c>
      <c r="AE21" s="37">
        <f t="shared" si="4"/>
        <v>0</v>
      </c>
      <c r="AF21" s="37">
        <f t="shared" si="4"/>
        <v>0</v>
      </c>
    </row>
    <row r="22" spans="1:45" ht="15.75" thickBot="1" x14ac:dyDescent="0.3">
      <c r="A22" s="31"/>
      <c r="B22" s="32" t="s">
        <v>14</v>
      </c>
      <c r="C22" s="6">
        <f t="shared" ref="C22:N22" si="5">COUNTIF(C4:C20,"M")</f>
        <v>4</v>
      </c>
      <c r="D22" s="6">
        <f t="shared" si="5"/>
        <v>4</v>
      </c>
      <c r="E22" s="6">
        <f t="shared" si="5"/>
        <v>5</v>
      </c>
      <c r="F22" s="6">
        <f t="shared" si="5"/>
        <v>4</v>
      </c>
      <c r="G22" s="6">
        <f t="shared" si="5"/>
        <v>5</v>
      </c>
      <c r="H22" s="6">
        <f t="shared" si="5"/>
        <v>5</v>
      </c>
      <c r="I22" s="6">
        <f t="shared" si="5"/>
        <v>5</v>
      </c>
      <c r="J22" s="6">
        <f t="shared" si="5"/>
        <v>5</v>
      </c>
      <c r="K22" s="6">
        <f t="shared" si="5"/>
        <v>5</v>
      </c>
      <c r="L22" s="6">
        <f t="shared" si="5"/>
        <v>5</v>
      </c>
      <c r="M22" s="6">
        <f t="shared" si="5"/>
        <v>4</v>
      </c>
      <c r="N22" s="6">
        <f t="shared" si="5"/>
        <v>6</v>
      </c>
      <c r="O22" s="6">
        <f>COUNTIF(O3:O16,"M")</f>
        <v>6</v>
      </c>
      <c r="P22" s="6">
        <f t="shared" ref="P22:AR22" si="6">COUNTIF(P3:P16,"M")</f>
        <v>7</v>
      </c>
      <c r="Q22" s="6">
        <f t="shared" si="6"/>
        <v>4</v>
      </c>
      <c r="R22" s="6">
        <f t="shared" si="6"/>
        <v>5</v>
      </c>
      <c r="S22" s="6">
        <v>7</v>
      </c>
      <c r="T22" s="6">
        <v>7</v>
      </c>
      <c r="U22" s="6">
        <v>7</v>
      </c>
      <c r="V22" s="6">
        <f t="shared" si="6"/>
        <v>6</v>
      </c>
      <c r="W22" s="6">
        <f t="shared" si="6"/>
        <v>7</v>
      </c>
      <c r="X22" s="6">
        <f t="shared" si="6"/>
        <v>5</v>
      </c>
      <c r="Y22" s="6">
        <f t="shared" si="6"/>
        <v>5</v>
      </c>
      <c r="Z22" s="6">
        <f t="shared" si="6"/>
        <v>7</v>
      </c>
      <c r="AA22" s="6">
        <f t="shared" si="6"/>
        <v>7</v>
      </c>
      <c r="AB22" s="6">
        <f t="shared" si="6"/>
        <v>7</v>
      </c>
      <c r="AC22" s="6">
        <f t="shared" si="6"/>
        <v>6</v>
      </c>
      <c r="AD22" s="6">
        <f t="shared" si="6"/>
        <v>7</v>
      </c>
      <c r="AE22" s="6">
        <f t="shared" si="6"/>
        <v>5</v>
      </c>
      <c r="AF22" s="6">
        <f t="shared" si="6"/>
        <v>5</v>
      </c>
      <c r="AG22" s="6">
        <f t="shared" si="6"/>
        <v>7</v>
      </c>
      <c r="AH22" s="6">
        <f t="shared" si="6"/>
        <v>7</v>
      </c>
      <c r="AI22" s="6">
        <f t="shared" si="6"/>
        <v>7</v>
      </c>
      <c r="AJ22" s="6">
        <f t="shared" si="6"/>
        <v>7</v>
      </c>
      <c r="AK22" s="6">
        <f t="shared" si="6"/>
        <v>8</v>
      </c>
      <c r="AL22" s="6">
        <f t="shared" si="6"/>
        <v>4</v>
      </c>
      <c r="AM22" s="6">
        <f t="shared" si="6"/>
        <v>5</v>
      </c>
      <c r="AN22" s="6">
        <f t="shared" si="6"/>
        <v>7</v>
      </c>
      <c r="AO22" s="6">
        <f t="shared" si="6"/>
        <v>7</v>
      </c>
      <c r="AP22" s="6">
        <f t="shared" si="6"/>
        <v>7</v>
      </c>
      <c r="AQ22" s="6">
        <f t="shared" si="6"/>
        <v>6</v>
      </c>
      <c r="AR22" s="6">
        <f t="shared" si="6"/>
        <v>7</v>
      </c>
      <c r="AS22" s="6">
        <f t="shared" ref="AS22" si="7">COUNTIF(AS3:AS16,"M")</f>
        <v>5</v>
      </c>
    </row>
    <row r="23" spans="1:45" ht="15.75" thickBot="1" x14ac:dyDescent="0.3">
      <c r="A23" s="34"/>
      <c r="B23" s="33" t="s">
        <v>9</v>
      </c>
      <c r="C23" s="33">
        <f t="shared" ref="C23:O23" si="8">COUNTIF(C4:C20,"B")</f>
        <v>1</v>
      </c>
      <c r="D23" s="33">
        <f t="shared" si="8"/>
        <v>1</v>
      </c>
      <c r="E23" s="33">
        <f t="shared" si="8"/>
        <v>1</v>
      </c>
      <c r="F23" s="33">
        <f t="shared" si="8"/>
        <v>1</v>
      </c>
      <c r="G23" s="33">
        <f t="shared" si="8"/>
        <v>2</v>
      </c>
      <c r="H23" s="33">
        <f t="shared" si="8"/>
        <v>0</v>
      </c>
      <c r="I23" s="33">
        <f t="shared" si="8"/>
        <v>0</v>
      </c>
      <c r="J23" s="33">
        <f t="shared" si="8"/>
        <v>0</v>
      </c>
      <c r="K23" s="33">
        <f t="shared" si="8"/>
        <v>0</v>
      </c>
      <c r="L23" s="33">
        <f t="shared" si="8"/>
        <v>0</v>
      </c>
      <c r="M23" s="33">
        <f t="shared" si="8"/>
        <v>0</v>
      </c>
      <c r="N23" s="33">
        <f t="shared" si="8"/>
        <v>0</v>
      </c>
      <c r="O23" s="33">
        <f t="shared" si="8"/>
        <v>0</v>
      </c>
      <c r="P23" s="33">
        <f t="shared" ref="P23:AR23" si="9">COUNTIF(P4:P20,"B")</f>
        <v>0</v>
      </c>
      <c r="Q23" s="33">
        <f t="shared" si="9"/>
        <v>0</v>
      </c>
      <c r="R23" s="33">
        <f t="shared" si="9"/>
        <v>0</v>
      </c>
      <c r="S23" s="33">
        <f t="shared" si="9"/>
        <v>0</v>
      </c>
      <c r="T23" s="33">
        <f t="shared" si="9"/>
        <v>0</v>
      </c>
      <c r="U23" s="33">
        <f t="shared" si="9"/>
        <v>0</v>
      </c>
      <c r="V23" s="33">
        <f t="shared" si="9"/>
        <v>0</v>
      </c>
      <c r="W23" s="33">
        <f t="shared" si="9"/>
        <v>0</v>
      </c>
      <c r="X23" s="33">
        <f t="shared" si="9"/>
        <v>0</v>
      </c>
      <c r="Y23" s="33">
        <f t="shared" si="9"/>
        <v>0</v>
      </c>
      <c r="Z23" s="33">
        <f t="shared" si="9"/>
        <v>0</v>
      </c>
      <c r="AA23" s="33">
        <f t="shared" si="9"/>
        <v>1</v>
      </c>
      <c r="AB23" s="33">
        <f t="shared" si="9"/>
        <v>0</v>
      </c>
      <c r="AC23" s="33">
        <f t="shared" si="9"/>
        <v>0</v>
      </c>
      <c r="AD23" s="33">
        <f t="shared" si="9"/>
        <v>1</v>
      </c>
      <c r="AE23" s="33">
        <f t="shared" si="9"/>
        <v>0</v>
      </c>
      <c r="AF23" s="33">
        <f t="shared" si="9"/>
        <v>0</v>
      </c>
      <c r="AG23" s="33">
        <f t="shared" si="9"/>
        <v>0</v>
      </c>
      <c r="AH23" s="33">
        <f t="shared" si="9"/>
        <v>1</v>
      </c>
      <c r="AI23" s="33">
        <f t="shared" si="9"/>
        <v>0</v>
      </c>
      <c r="AJ23" s="33">
        <f t="shared" si="9"/>
        <v>0</v>
      </c>
      <c r="AK23" s="33">
        <f t="shared" si="9"/>
        <v>0</v>
      </c>
      <c r="AL23" s="33">
        <f t="shared" si="9"/>
        <v>0</v>
      </c>
      <c r="AM23" s="33">
        <f t="shared" si="9"/>
        <v>0</v>
      </c>
      <c r="AN23" s="33">
        <f t="shared" si="9"/>
        <v>0</v>
      </c>
      <c r="AO23" s="33">
        <f t="shared" si="9"/>
        <v>1</v>
      </c>
      <c r="AP23" s="33">
        <f t="shared" si="9"/>
        <v>0</v>
      </c>
      <c r="AQ23" s="33">
        <f t="shared" si="9"/>
        <v>0</v>
      </c>
      <c r="AR23" s="33">
        <f t="shared" si="9"/>
        <v>1</v>
      </c>
      <c r="AS23" s="33">
        <f t="shared" ref="AS23" si="10">COUNTIF(AS4:AS20,"B")</f>
        <v>0</v>
      </c>
    </row>
    <row r="24" spans="1:45" x14ac:dyDescent="0.25">
      <c r="A24" s="34"/>
      <c r="B24" s="35" t="s">
        <v>12</v>
      </c>
      <c r="C24" s="29">
        <f t="shared" ref="C24:O24" si="11">COUNTIF(C4:C20,"E")</f>
        <v>2</v>
      </c>
      <c r="D24" s="29">
        <f t="shared" si="11"/>
        <v>2</v>
      </c>
      <c r="E24" s="29">
        <f t="shared" si="11"/>
        <v>1</v>
      </c>
      <c r="F24" s="29">
        <f t="shared" si="11"/>
        <v>1</v>
      </c>
      <c r="G24" s="29">
        <f t="shared" si="11"/>
        <v>2</v>
      </c>
      <c r="H24" s="29">
        <f t="shared" si="11"/>
        <v>3</v>
      </c>
      <c r="I24" s="29">
        <f t="shared" si="11"/>
        <v>3</v>
      </c>
      <c r="J24" s="29">
        <f t="shared" si="11"/>
        <v>3</v>
      </c>
      <c r="K24" s="29">
        <f t="shared" si="11"/>
        <v>3</v>
      </c>
      <c r="L24" s="29">
        <f t="shared" si="11"/>
        <v>2</v>
      </c>
      <c r="M24" s="29">
        <f t="shared" si="11"/>
        <v>2</v>
      </c>
      <c r="N24" s="29">
        <f t="shared" si="11"/>
        <v>3</v>
      </c>
      <c r="O24" s="29">
        <f t="shared" si="11"/>
        <v>2</v>
      </c>
      <c r="P24" s="29">
        <f t="shared" ref="P24:AR24" si="12">COUNTIF(P4:P20,"E")</f>
        <v>2</v>
      </c>
      <c r="Q24" s="29">
        <f t="shared" si="12"/>
        <v>2</v>
      </c>
      <c r="R24" s="29">
        <f t="shared" si="12"/>
        <v>2</v>
      </c>
      <c r="S24" s="29">
        <f t="shared" si="12"/>
        <v>2</v>
      </c>
      <c r="T24" s="29">
        <f t="shared" si="12"/>
        <v>2</v>
      </c>
      <c r="U24" s="29">
        <f t="shared" si="12"/>
        <v>2</v>
      </c>
      <c r="V24" s="29">
        <f t="shared" si="12"/>
        <v>2</v>
      </c>
      <c r="W24" s="29">
        <f t="shared" si="12"/>
        <v>2</v>
      </c>
      <c r="X24" s="29">
        <f t="shared" si="12"/>
        <v>2</v>
      </c>
      <c r="Y24" s="29">
        <f t="shared" si="12"/>
        <v>2</v>
      </c>
      <c r="Z24" s="29">
        <f t="shared" si="12"/>
        <v>2</v>
      </c>
      <c r="AA24" s="29">
        <f t="shared" si="12"/>
        <v>2</v>
      </c>
      <c r="AB24" s="29">
        <f t="shared" si="12"/>
        <v>2</v>
      </c>
      <c r="AC24" s="29">
        <f t="shared" si="12"/>
        <v>2</v>
      </c>
      <c r="AD24" s="29">
        <f t="shared" si="12"/>
        <v>2</v>
      </c>
      <c r="AE24" s="29">
        <f t="shared" si="12"/>
        <v>2</v>
      </c>
      <c r="AF24" s="29">
        <f t="shared" si="12"/>
        <v>2</v>
      </c>
      <c r="AG24" s="29">
        <f t="shared" si="12"/>
        <v>2</v>
      </c>
      <c r="AH24" s="29">
        <f t="shared" si="12"/>
        <v>2</v>
      </c>
      <c r="AI24" s="29">
        <f t="shared" si="12"/>
        <v>2</v>
      </c>
      <c r="AJ24" s="29">
        <f t="shared" si="12"/>
        <v>2</v>
      </c>
      <c r="AK24" s="29">
        <f t="shared" si="12"/>
        <v>2</v>
      </c>
      <c r="AL24" s="29">
        <f t="shared" si="12"/>
        <v>2</v>
      </c>
      <c r="AM24" s="29">
        <f t="shared" si="12"/>
        <v>2</v>
      </c>
      <c r="AN24" s="29">
        <f t="shared" si="12"/>
        <v>2</v>
      </c>
      <c r="AO24" s="29">
        <f t="shared" si="12"/>
        <v>2</v>
      </c>
      <c r="AP24" s="29">
        <f t="shared" si="12"/>
        <v>2</v>
      </c>
      <c r="AQ24" s="29">
        <f t="shared" si="12"/>
        <v>2</v>
      </c>
      <c r="AR24" s="29">
        <f t="shared" si="12"/>
        <v>2</v>
      </c>
      <c r="AS24" s="29">
        <f t="shared" ref="AS24" si="13">COUNTIF(AS4:AS20,"E")</f>
        <v>2</v>
      </c>
    </row>
    <row r="25" spans="1:45" x14ac:dyDescent="0.25">
      <c r="A25" s="10"/>
      <c r="B25" s="36" t="s">
        <v>16</v>
      </c>
      <c r="C25" s="37">
        <f t="shared" ref="C25:N25" si="14">COUNTIF(C4:C20,"n")</f>
        <v>1</v>
      </c>
      <c r="D25" s="37">
        <f t="shared" si="14"/>
        <v>1</v>
      </c>
      <c r="E25" s="37">
        <f t="shared" si="14"/>
        <v>1</v>
      </c>
      <c r="F25" s="37">
        <f t="shared" si="14"/>
        <v>1</v>
      </c>
      <c r="G25" s="37">
        <f t="shared" si="14"/>
        <v>1</v>
      </c>
      <c r="H25" s="37">
        <f t="shared" si="14"/>
        <v>1</v>
      </c>
      <c r="I25" s="37">
        <f t="shared" si="14"/>
        <v>1</v>
      </c>
      <c r="J25" s="37">
        <f t="shared" si="14"/>
        <v>1</v>
      </c>
      <c r="K25" s="37">
        <f t="shared" si="14"/>
        <v>1</v>
      </c>
      <c r="L25" s="37">
        <f t="shared" si="14"/>
        <v>1</v>
      </c>
      <c r="M25" s="37">
        <f t="shared" si="14"/>
        <v>1</v>
      </c>
      <c r="N25" s="37">
        <f t="shared" si="14"/>
        <v>2</v>
      </c>
      <c r="O25" s="37">
        <f>COUNTIF(Q4:Q20,"N")</f>
        <v>1</v>
      </c>
      <c r="P25" s="37">
        <f t="shared" ref="P25:AP25" si="15">COUNTIF(R4:R20,"N")</f>
        <v>1</v>
      </c>
      <c r="Q25" s="37">
        <f t="shared" si="15"/>
        <v>1</v>
      </c>
      <c r="R25" s="37">
        <f t="shared" si="15"/>
        <v>1</v>
      </c>
      <c r="S25" s="37">
        <f t="shared" si="15"/>
        <v>1</v>
      </c>
      <c r="T25" s="37">
        <f t="shared" si="15"/>
        <v>1</v>
      </c>
      <c r="U25" s="37">
        <f t="shared" si="15"/>
        <v>1</v>
      </c>
      <c r="V25" s="37">
        <f t="shared" si="15"/>
        <v>1</v>
      </c>
      <c r="W25" s="37">
        <f t="shared" si="15"/>
        <v>1</v>
      </c>
      <c r="X25" s="37">
        <f t="shared" si="15"/>
        <v>1</v>
      </c>
      <c r="Y25" s="37">
        <f t="shared" si="15"/>
        <v>1</v>
      </c>
      <c r="Z25" s="37">
        <f t="shared" si="15"/>
        <v>1</v>
      </c>
      <c r="AA25" s="37">
        <f t="shared" si="15"/>
        <v>1</v>
      </c>
      <c r="AB25" s="37">
        <f t="shared" si="15"/>
        <v>1</v>
      </c>
      <c r="AC25" s="37">
        <f t="shared" si="15"/>
        <v>1</v>
      </c>
      <c r="AD25" s="37">
        <f t="shared" si="15"/>
        <v>1</v>
      </c>
      <c r="AE25" s="37">
        <f t="shared" si="15"/>
        <v>1</v>
      </c>
      <c r="AF25" s="37">
        <f t="shared" si="15"/>
        <v>1</v>
      </c>
      <c r="AG25" s="37">
        <f t="shared" si="15"/>
        <v>1</v>
      </c>
      <c r="AH25" s="37">
        <v>1</v>
      </c>
      <c r="AI25" s="37">
        <f t="shared" si="15"/>
        <v>1</v>
      </c>
      <c r="AJ25" s="37">
        <f t="shared" si="15"/>
        <v>1</v>
      </c>
      <c r="AK25" s="37">
        <f t="shared" si="15"/>
        <v>1</v>
      </c>
      <c r="AL25" s="37">
        <f t="shared" si="15"/>
        <v>1</v>
      </c>
      <c r="AM25" s="37">
        <f t="shared" si="15"/>
        <v>1</v>
      </c>
      <c r="AN25" s="37">
        <f t="shared" si="15"/>
        <v>1</v>
      </c>
      <c r="AO25" s="37">
        <f t="shared" si="15"/>
        <v>1</v>
      </c>
      <c r="AP25" s="37">
        <f t="shared" si="15"/>
        <v>1</v>
      </c>
      <c r="AQ25" s="37">
        <f t="shared" ref="AQ25" si="16">COUNTIF(AS4:AS20,"N")</f>
        <v>1</v>
      </c>
      <c r="AR25" s="37">
        <v>1</v>
      </c>
      <c r="AS25" s="37">
        <v>1</v>
      </c>
    </row>
    <row r="26" spans="1:45" ht="15.75" thickBot="1" x14ac:dyDescent="0.3"/>
    <row r="27" spans="1:45" x14ac:dyDescent="0.25">
      <c r="A27" s="41" t="s">
        <v>14</v>
      </c>
      <c r="B27" s="42" t="s">
        <v>21</v>
      </c>
      <c r="C27" s="1"/>
      <c r="D27" s="1"/>
      <c r="E27" s="1"/>
      <c r="F27" s="1"/>
      <c r="G27" s="1"/>
      <c r="H27" s="1"/>
      <c r="I27" s="1"/>
    </row>
    <row r="28" spans="1:45" ht="15.75" thickBot="1" x14ac:dyDescent="0.3">
      <c r="A28" s="43" t="s">
        <v>12</v>
      </c>
      <c r="B28" s="44" t="s">
        <v>22</v>
      </c>
      <c r="C28" s="1"/>
      <c r="D28" s="1"/>
      <c r="E28" s="1"/>
      <c r="F28" s="1"/>
      <c r="G28" s="1"/>
      <c r="H28" s="1"/>
      <c r="I28" s="1"/>
    </row>
    <row r="29" spans="1:45" ht="15.75" thickBot="1" x14ac:dyDescent="0.3">
      <c r="A29" s="39" t="s">
        <v>16</v>
      </c>
      <c r="B29" s="40" t="s">
        <v>23</v>
      </c>
      <c r="C29" s="1"/>
      <c r="D29" s="1"/>
      <c r="E29" s="1"/>
      <c r="F29" s="1"/>
      <c r="G29" s="1"/>
      <c r="H29" s="1"/>
      <c r="I29" s="1"/>
    </row>
    <row r="30" spans="1:45" ht="15.75" thickBot="1" x14ac:dyDescent="0.3">
      <c r="A30" s="9" t="s">
        <v>9</v>
      </c>
      <c r="B30" s="11" t="s">
        <v>24</v>
      </c>
      <c r="C30" s="1"/>
      <c r="D30" s="1"/>
      <c r="E30" s="1"/>
      <c r="F30" s="1"/>
      <c r="G30" s="1"/>
      <c r="H30" s="1"/>
      <c r="I30" s="1"/>
      <c r="J30" s="3" t="s">
        <v>54</v>
      </c>
    </row>
    <row r="31" spans="1:45" ht="15.75" thickBot="1" x14ac:dyDescent="0.3">
      <c r="A31" s="8" t="s">
        <v>25</v>
      </c>
      <c r="B31" s="12" t="s">
        <v>26</v>
      </c>
      <c r="C31" s="1"/>
      <c r="D31" s="1"/>
      <c r="E31" s="1"/>
      <c r="F31" s="1"/>
      <c r="G31" s="1"/>
      <c r="H31" s="1"/>
      <c r="I31" s="1"/>
    </row>
    <row r="32" spans="1:45" ht="15.75" thickBot="1" x14ac:dyDescent="0.3">
      <c r="A32" s="13" t="s">
        <v>27</v>
      </c>
      <c r="B32" s="12" t="s">
        <v>28</v>
      </c>
      <c r="C32" s="1"/>
      <c r="D32" s="1"/>
      <c r="E32" s="1"/>
      <c r="F32" s="1"/>
      <c r="G32" s="1"/>
      <c r="H32" s="1"/>
      <c r="I32" s="1"/>
    </row>
    <row r="33" spans="1:9" ht="15.75" thickBot="1" x14ac:dyDescent="0.3">
      <c r="A33" s="14" t="s">
        <v>29</v>
      </c>
      <c r="B33" s="12" t="s">
        <v>30</v>
      </c>
      <c r="C33" s="1"/>
      <c r="D33" s="1"/>
      <c r="E33" s="1"/>
      <c r="F33" s="1"/>
      <c r="G33" s="1"/>
      <c r="H33" s="1"/>
      <c r="I33" s="1"/>
    </row>
    <row r="34" spans="1:9" ht="15.75" thickBot="1" x14ac:dyDescent="0.3">
      <c r="A34" s="15" t="s">
        <v>13</v>
      </c>
      <c r="B34" s="12" t="s">
        <v>31</v>
      </c>
      <c r="C34" s="1"/>
      <c r="D34" s="1"/>
      <c r="E34" s="1"/>
      <c r="F34" s="1"/>
      <c r="G34" s="1"/>
      <c r="H34" s="1"/>
      <c r="I34" s="1"/>
    </row>
    <row r="35" spans="1:9" ht="15.75" thickBot="1" x14ac:dyDescent="0.3">
      <c r="A35" s="16" t="s">
        <v>32</v>
      </c>
      <c r="B35" s="12" t="s">
        <v>33</v>
      </c>
      <c r="C35" s="1"/>
      <c r="D35" s="1"/>
      <c r="E35" s="1"/>
      <c r="F35" s="1"/>
      <c r="G35" s="1"/>
      <c r="H35" s="1"/>
      <c r="I35" s="1"/>
    </row>
    <row r="36" spans="1:9" ht="15.75" thickBot="1" x14ac:dyDescent="0.3">
      <c r="A36" s="17" t="s">
        <v>34</v>
      </c>
      <c r="B36" s="12" t="s">
        <v>35</v>
      </c>
      <c r="C36" s="1"/>
      <c r="D36" s="1"/>
      <c r="E36" s="1"/>
      <c r="F36" s="1"/>
      <c r="G36" s="1"/>
      <c r="H36" s="1"/>
      <c r="I36" s="1"/>
    </row>
    <row r="37" spans="1:9" ht="15.75" thickBot="1" x14ac:dyDescent="0.3">
      <c r="A37" s="18" t="s">
        <v>36</v>
      </c>
      <c r="B37" s="12" t="s">
        <v>37</v>
      </c>
      <c r="C37" s="1"/>
      <c r="D37" s="1"/>
      <c r="E37" s="1"/>
      <c r="F37" s="1"/>
      <c r="G37" s="1"/>
      <c r="H37" s="1"/>
      <c r="I37" s="1"/>
    </row>
    <row r="38" spans="1:9" ht="15.75" thickBot="1" x14ac:dyDescent="0.3">
      <c r="A38" s="7" t="s">
        <v>10</v>
      </c>
      <c r="B38" s="12" t="s">
        <v>38</v>
      </c>
      <c r="C38" s="1"/>
      <c r="D38" s="1"/>
      <c r="E38" s="1"/>
      <c r="F38" s="1"/>
      <c r="G38" s="1"/>
      <c r="H38" s="1"/>
      <c r="I38" s="1"/>
    </row>
    <row r="39" spans="1:9" ht="15.75" thickBot="1" x14ac:dyDescent="0.3">
      <c r="A39" s="19" t="s">
        <v>39</v>
      </c>
      <c r="B39" s="12" t="s">
        <v>40</v>
      </c>
      <c r="C39" s="1"/>
      <c r="D39" s="1"/>
      <c r="E39" s="1"/>
      <c r="F39" s="1"/>
      <c r="G39" s="1"/>
      <c r="H39" s="1"/>
      <c r="I39" s="1"/>
    </row>
    <row r="40" spans="1:9" ht="15.75" thickBot="1" x14ac:dyDescent="0.3">
      <c r="A40" s="20" t="s">
        <v>41</v>
      </c>
      <c r="B40" s="12" t="s">
        <v>42</v>
      </c>
      <c r="C40" s="1"/>
      <c r="D40" s="1"/>
      <c r="E40" s="1"/>
      <c r="F40" s="1"/>
      <c r="G40" s="1"/>
      <c r="H40" s="1"/>
      <c r="I40" s="1"/>
    </row>
    <row r="41" spans="1:9" ht="15.75" thickBot="1" x14ac:dyDescent="0.3">
      <c r="A41" s="21" t="s">
        <v>43</v>
      </c>
      <c r="B41" s="12" t="s">
        <v>44</v>
      </c>
      <c r="C41" s="1"/>
      <c r="D41" s="1"/>
      <c r="E41" s="1"/>
      <c r="F41" s="1"/>
      <c r="G41" s="1"/>
      <c r="H41" s="1"/>
      <c r="I41" s="1"/>
    </row>
    <row r="42" spans="1:9" ht="15.75" thickBot="1" x14ac:dyDescent="0.3">
      <c r="A42" s="22" t="s">
        <v>45</v>
      </c>
      <c r="B42" s="12" t="s">
        <v>46</v>
      </c>
      <c r="C42" s="1"/>
      <c r="D42" s="1"/>
      <c r="E42" s="1"/>
      <c r="F42" s="1"/>
      <c r="G42" s="1"/>
      <c r="H42" s="1"/>
      <c r="I42" s="1"/>
    </row>
    <row r="43" spans="1:9" ht="15.75" thickBot="1" x14ac:dyDescent="0.3">
      <c r="A43" s="23" t="s">
        <v>25</v>
      </c>
      <c r="B43" s="12" t="s">
        <v>47</v>
      </c>
      <c r="C43" s="1"/>
      <c r="D43" s="1"/>
      <c r="E43" s="1"/>
      <c r="F43" s="1"/>
      <c r="G43" s="1"/>
      <c r="H43" s="1"/>
      <c r="I43" s="1"/>
    </row>
    <row r="44" spans="1:9" ht="15.75" thickBot="1" x14ac:dyDescent="0.3">
      <c r="A44" s="24" t="s">
        <v>48</v>
      </c>
      <c r="B44" s="12" t="s">
        <v>49</v>
      </c>
      <c r="C44" s="1"/>
      <c r="D44" s="1"/>
      <c r="E44" s="1"/>
      <c r="F44" s="1"/>
      <c r="G44" s="1"/>
      <c r="H44" s="1"/>
      <c r="I44" s="1"/>
    </row>
  </sheetData>
  <mergeCells count="2">
    <mergeCell ref="A2:B2"/>
    <mergeCell ref="A17:B17"/>
  </mergeCells>
  <pageMargins left="0.7" right="0.7" top="0.75" bottom="0.75" header="0.3" footer="0.3"/>
  <pageSetup paperSize="8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 Roster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Nabil, Mostafa (MAK)</dc:creator>
  <cp:keywords/>
  <dc:description/>
  <cp:lastModifiedBy>Mostafa NABIL</cp:lastModifiedBy>
  <cp:revision/>
  <cp:lastPrinted>2026-08-18T05:37:38Z</cp:lastPrinted>
  <dcterms:created xsi:type="dcterms:W3CDTF">2023-12-17T15:54:15Z</dcterms:created>
  <dcterms:modified xsi:type="dcterms:W3CDTF">2026-08-18T07:06:04Z</dcterms:modified>
  <cp:category/>
  <cp:contentStatus/>
</cp:coreProperties>
</file>